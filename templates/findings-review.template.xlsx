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Review Trail" sheetId="3" state="visible" r:id="rId3"/>
    <sheet xmlns:r="http://schemas.openxmlformats.org/officeDocument/2006/relationships" name="Gaps" sheetId="4" state="visible" r:id="rId4"/>
    <sheet xmlns:r="http://schemas.openxmlformats.org/officeDocument/2006/relationships" name="Definitions" sheetId="5" state="visible" r:id="rId5"/>
    <sheet xmlns:r="http://schemas.openxmlformats.org/officeDocument/2006/relationships" name="Lists" sheetId="6" state="hidden" r:id="rId6"/>
  </sheets>
  <definedNames>
    <definedName name="_xlnm._FilterDatabase" localSheetId="2" hidden="1">'Review Trail'!$A$2:$AI$63</definedName>
    <definedName name="_xlnm.Print_Titles" localSheetId="2">'Review Trail'!$1:$2</definedName>
    <definedName name="_xlnm._FilterDatabase" localSheetId="3" hidden="1">'Gaps'!$A$2:$N$43</definedName>
    <definedName name="_xlnm.Print_Titles" localSheetId="3">'Gaps'!$1:$2</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Arial"/>
      <b val="1"/>
    </font>
    <font>
      <name val="Arial"/>
    </font>
    <font>
      <name val="Arial"/>
      <b val="1"/>
      <color rgb="00FFFFFF"/>
    </font>
    <font>
      <name val="Arial"/>
      <b val="1"/>
      <color rgb="00FFFFFF"/>
      <sz val="11"/>
    </font>
    <font>
      <name val="Arial"/>
      <sz val="10"/>
    </font>
    <font>
      <name val="Arial"/>
      <b val="1"/>
      <sz val="10"/>
    </font>
    <font>
      <name val="Arial"/>
      <b val="1"/>
      <sz val="14"/>
    </font>
    <font>
      <name val="Arial"/>
      <i val="1"/>
      <color rgb="00595959"/>
      <sz val="9"/>
    </font>
    <font>
      <name val="Arial"/>
      <b val="1"/>
      <color rgb="00FFFFFF"/>
      <sz val="10"/>
    </font>
  </fonts>
  <fills count="14">
    <fill>
      <patternFill/>
    </fill>
    <fill>
      <patternFill patternType="gray125"/>
    </fill>
    <fill>
      <patternFill patternType="solid">
        <fgColor rgb="001F4E79"/>
      </patternFill>
    </fill>
    <fill>
      <patternFill patternType="solid">
        <fgColor rgb="00375623"/>
      </patternFill>
    </fill>
    <fill>
      <patternFill patternType="solid">
        <fgColor rgb="007030A0"/>
      </patternFill>
    </fill>
    <fill>
      <patternFill patternType="solid">
        <fgColor rgb="00C55A11"/>
      </patternFill>
    </fill>
    <fill>
      <patternFill patternType="solid">
        <fgColor rgb="00404040"/>
      </patternFill>
    </fill>
    <fill>
      <patternFill patternType="solid">
        <fgColor rgb="00DDEBF7"/>
      </patternFill>
    </fill>
    <fill>
      <patternFill patternType="solid">
        <fgColor rgb="00E2EFDA"/>
      </patternFill>
    </fill>
    <fill>
      <patternFill patternType="solid">
        <fgColor rgb="00E4DFEC"/>
      </patternFill>
    </fill>
    <fill>
      <patternFill patternType="solid">
        <fgColor rgb="00FCE4D6"/>
      </patternFill>
    </fill>
    <fill>
      <patternFill patternType="solid">
        <fgColor rgb="00EDEDED"/>
      </patternFill>
    </fill>
    <fill>
      <patternFill patternType="solid">
        <fgColor rgb="00833C0B"/>
      </patternFill>
    </fill>
    <fill>
      <patternFill patternType="solid">
        <fgColor rgb="00FBE5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6">
    <xf numFmtId="0" fontId="0" fillId="0" borderId="0" pivotButton="0" quotePrefix="0" xfId="0"/>
    <xf numFmtId="0" fontId="7" fillId="0" borderId="0" applyAlignment="1" pivotButton="0" quotePrefix="0" xfId="0">
      <alignment vertical="top"/>
    </xf>
    <xf numFmtId="0" fontId="6" fillId="0" borderId="0" applyAlignment="1" pivotButton="0" quotePrefix="0" xfId="0">
      <alignment vertical="top"/>
    </xf>
    <xf numFmtId="0" fontId="5" fillId="0" borderId="0" applyAlignment="1" pivotButton="0" quotePrefix="0" xfId="0">
      <alignment vertical="top" wrapText="1"/>
    </xf>
    <xf numFmtId="0" fontId="1" fillId="0" borderId="0" pivotButton="0" quotePrefix="0" xfId="0"/>
    <xf numFmtId="0" fontId="9" fillId="2" borderId="0" pivotButton="0" quotePrefix="0" xfId="0"/>
    <xf numFmtId="0" fontId="5" fillId="7" borderId="0" pivotButton="0" quotePrefix="0" xfId="0"/>
    <xf numFmtId="0" fontId="9" fillId="3" borderId="0" pivotButton="0" quotePrefix="0" xfId="0"/>
    <xf numFmtId="0" fontId="5" fillId="8" borderId="0" pivotButton="0" quotePrefix="0" xfId="0"/>
    <xf numFmtId="0" fontId="9" fillId="4" borderId="0" pivotButton="0" quotePrefix="0" xfId="0"/>
    <xf numFmtId="0" fontId="5" fillId="9" borderId="0" pivotButton="0" quotePrefix="0" xfId="0"/>
    <xf numFmtId="0" fontId="9" fillId="5" borderId="0" pivotButton="0" quotePrefix="0" xfId="0"/>
    <xf numFmtId="0" fontId="5" fillId="10" borderId="0" pivotButton="0" quotePrefix="0" xfId="0"/>
    <xf numFmtId="0" fontId="9" fillId="6" borderId="0" pivotButton="0" quotePrefix="0" xfId="0"/>
    <xf numFmtId="0" fontId="5" fillId="11" borderId="0" pivotButton="0" quotePrefix="0" xfId="0"/>
    <xf numFmtId="0" fontId="7" fillId="0" borderId="0" pivotButton="0" quotePrefix="0" xfId="0"/>
    <xf numFmtId="0" fontId="8" fillId="0" borderId="0" pivotButton="0" quotePrefix="0" xfId="0"/>
    <xf numFmtId="0" fontId="3" fillId="2" borderId="0" pivotButton="0" quotePrefix="0" xfId="0"/>
    <xf numFmtId="0" fontId="2" fillId="0" borderId="1" pivotButton="0" quotePrefix="0" xfId="0"/>
    <xf numFmtId="0" fontId="3" fillId="12" borderId="0" pivotButton="0" quotePrefix="0" xfId="0"/>
    <xf numFmtId="0" fontId="4" fillId="2" borderId="0" applyAlignment="1" pivotButton="0" quotePrefix="0" xfId="0">
      <alignment horizontal="center" vertical="center"/>
    </xf>
    <xf numFmtId="0" fontId="4" fillId="3" borderId="0" applyAlignment="1" pivotButton="0" quotePrefix="0" xfId="0">
      <alignment horizontal="center"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7" borderId="1" applyAlignment="1" pivotButton="0" quotePrefix="0" xfId="0">
      <alignment vertical="top" wrapText="1"/>
    </xf>
    <xf numFmtId="164" fontId="5" fillId="7" borderId="1" applyAlignment="1" pivotButton="0" quotePrefix="0" xfId="0">
      <alignment vertical="top" wrapText="1"/>
    </xf>
    <xf numFmtId="0" fontId="5" fillId="8" borderId="1" applyAlignment="1" pivotButton="0" quotePrefix="0" xfId="0">
      <alignment vertical="top" wrapText="1"/>
    </xf>
    <xf numFmtId="164" fontId="5" fillId="8" borderId="1" applyAlignment="1" pivotButton="0" quotePrefix="0" xfId="0">
      <alignment vertical="top" wrapText="1"/>
    </xf>
    <xf numFmtId="0" fontId="5" fillId="9" borderId="1" applyAlignment="1" pivotButton="0" quotePrefix="0" xfId="0">
      <alignment vertical="top" wrapText="1"/>
    </xf>
    <xf numFmtId="164" fontId="5" fillId="9" borderId="1" applyAlignment="1" pivotButton="0" quotePrefix="0" xfId="0">
      <alignment vertical="top" wrapText="1"/>
    </xf>
    <xf numFmtId="0" fontId="5" fillId="10" borderId="1" applyAlignment="1" pivotButton="0" quotePrefix="0" xfId="0">
      <alignment vertical="top" wrapText="1"/>
    </xf>
    <xf numFmtId="164" fontId="5" fillId="10" borderId="1" applyAlignment="1" pivotButton="0" quotePrefix="0" xfId="0">
      <alignment vertical="top" wrapText="1"/>
    </xf>
    <xf numFmtId="0" fontId="6" fillId="11" borderId="1" applyAlignment="1" pivotButton="0" quotePrefix="0" xfId="0">
      <alignment vertical="top" wrapText="1"/>
    </xf>
    <xf numFmtId="0" fontId="5" fillId="11" borderId="1" applyAlignment="1" pivotButton="0" quotePrefix="0" xfId="0">
      <alignment vertical="top" wrapText="1"/>
    </xf>
    <xf numFmtId="0" fontId="4" fillId="12" borderId="0" applyAlignment="1" pivotButton="0" quotePrefix="0" xfId="0">
      <alignment horizontal="left" vertical="center"/>
    </xf>
    <xf numFmtId="0" fontId="3" fillId="12" borderId="1" applyAlignment="1" pivotButton="0" quotePrefix="0" xfId="0">
      <alignment horizontal="center" vertical="center" wrapText="1"/>
    </xf>
    <xf numFmtId="0" fontId="5" fillId="13" borderId="1" applyAlignment="1" pivotButton="0" quotePrefix="0" xfId="0">
      <alignment vertical="top" wrapText="1"/>
    </xf>
    <xf numFmtId="0" fontId="0" fillId="2" borderId="0" pivotButton="0" quotePrefix="0" xfId="0"/>
    <xf numFmtId="0" fontId="6" fillId="0" borderId="0" pivotButton="0" quotePrefix="0" xfId="0"/>
    <xf numFmtId="0" fontId="2" fillId="0" borderId="0" pivotButton="0" quotePrefix="0" xfId="0"/>
  </cellXfs>
  <cellStyles count="1">
    <cellStyle name="Normal" xfId="0" builtinId="0" hidden="0"/>
  </cellStyles>
  <dxfs count="10">
    <dxf>
      <font>
        <name val="Arial"/>
        <b val="1"/>
        <color rgb="00FFFFFF"/>
      </font>
      <fill>
        <patternFill patternType="solid">
          <fgColor rgb="00C00000"/>
        </patternFill>
      </fill>
    </dxf>
    <dxf>
      <font>
        <name val="Arial"/>
        <b val="1"/>
        <color rgb="00FFFFFF"/>
      </font>
      <fill>
        <patternFill patternType="solid">
          <fgColor rgb="00FF6600"/>
        </patternFill>
      </fill>
    </dxf>
    <dxf>
      <font>
        <name val="Arial"/>
        <b val="1"/>
        <color rgb="00FFFFFF"/>
      </font>
      <fill>
        <patternFill patternType="solid">
          <fgColor rgb="00FFC000"/>
        </patternFill>
      </fill>
    </dxf>
    <dxf>
      <font>
        <name val="Arial"/>
        <b val="1"/>
        <color rgb="00FFFFFF"/>
      </font>
      <fill>
        <patternFill patternType="solid">
          <fgColor rgb="0070AD47"/>
        </patternFill>
      </fill>
    </dxf>
    <dxf>
      <fill>
        <patternFill patternType="solid">
          <fgColor rgb="00C6EFCE"/>
        </patternFill>
      </fill>
    </dxf>
    <dxf>
      <fill>
        <patternFill patternType="solid">
          <fgColor rgb="00FCE4D6"/>
        </patternFill>
      </fill>
    </dxf>
    <dxf>
      <fill>
        <patternFill patternType="solid">
          <fgColor rgb="00E4DFEC"/>
        </patternFill>
      </fill>
    </dxf>
    <dxf>
      <fill>
        <patternFill patternType="solid">
          <fgColor rgb="00DDEBF7"/>
        </patternFill>
      </fill>
    </dxf>
    <dxf>
      <fill>
        <patternFill patternType="solid">
          <fgColor rgb="00EDEDED"/>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Review trail</author>
  </authors>
  <commentList>
    <comment ref="A2" authorId="0" shapeId="0">
      <text>
        <t>Finding ID, F-01 onward</t>
      </text>
    </comment>
    <comment ref="B2" authorId="0" shapeId="0">
      <text>
        <t>What was observed, in one line</t>
      </text>
    </comment>
    <comment ref="C2" authorId="0" shapeId="0">
      <text>
        <t>Script, file and filter or summary metric that produced the count</t>
      </text>
    </comment>
    <comment ref="D2" authorId="0" shapeId="0">
      <text>
        <t>Observed count</t>
      </text>
    </comment>
    <comment ref="E2" authorId="0" shapeId="0">
      <text>
        <t>What the count is out of (the denominator)</t>
      </text>
    </comment>
    <comment ref="F2" authorId="0" shapeId="0">
      <text>
        <t>Critical / High / Medium / Low, per the Definitions sheet</t>
      </text>
    </comment>
    <comment ref="G2" authorId="0" shapeId="0">
      <text>
        <t>HITRUST CSF control reference</t>
      </text>
    </comment>
    <comment ref="H2" authorId="0" shapeId="0">
      <text>
        <t>Engineer's proposal; the Zero Trust Architect confirms</t>
      </text>
    </comment>
    <comment ref="I2" authorId="0" shapeId="0">
      <text>
        <t>Engineer's first recommendation; the Architect owns the solution</t>
      </text>
    </comment>
    <comment ref="J2" authorId="0" shapeId="0">
      <text>
        <t>Evidence note in the evidence location (findings\F-xx.md): run folder, SHA-256, run account, closure test</t>
      </text>
    </comment>
    <comment ref="K2" authorId="0" shapeId="0">
      <text>
        <t>Date the finding was drafted</t>
      </text>
    </comment>
    <comment ref="L2" authorId="0" shapeId="0">
      <text>
        <t>Agree or adjust the observed severity</t>
      </text>
    </comment>
    <comment ref="M2" authorId="0" shapeId="0">
      <text>
        <t>Why this exists (process, design, tooling, ownership)</t>
      </text>
    </comment>
    <comment ref="N2" authorId="0" shapeId="0">
      <text>
        <t>What to change, at the level a change record can be built from</t>
      </text>
    </comment>
    <comment ref="O2" authorId="0" shapeId="0">
      <text>
        <t>S / M / L / XL</t>
      </text>
    </comment>
    <comment ref="P2" authorId="0" shapeId="0">
      <text>
        <t>Access, decisions, other findings or platforms this depends on</t>
      </text>
    </comment>
    <comment ref="Q2" authorId="0" shapeId="0">
      <text>
        <t>SOW gate (G1-G5) or sprint</t>
      </text>
    </comment>
    <comment ref="R2" authorId="0" shapeId="0">
      <text>
        <t>Reviewer (role or name)</t>
      </text>
    </comment>
    <comment ref="S2" authorId="0" shapeId="0">
      <text>
        <t>Date reviewed</t>
      </text>
    </comment>
    <comment ref="T2" authorId="0" shapeId="0">
      <text>
        <t>CISA Zero Trust Maturity Model pillar or cross-cutting capability</t>
      </text>
    </comment>
    <comment ref="U2" authorId="0" shapeId="0">
      <text>
        <t>Verify explicitly / Use least privilege / Assume breach</t>
      </text>
    </comment>
    <comment ref="V2" authorId="0" shapeId="0">
      <text>
        <t>Traditional / Initial / Advanced / Optimal</t>
      </text>
    </comment>
    <comment ref="W2" authorId="0" shapeId="0">
      <text>
        <t>Maturity the solution reaches</t>
      </text>
    </comment>
    <comment ref="X2" authorId="0" shapeId="0">
      <text>
        <t>Does the proposed solution fit the target Zero Trust design?</t>
      </text>
    </comment>
    <comment ref="Y2" authorId="0" shapeId="0">
      <text>
        <t>Changes needed for alignment, or why not aligned</t>
      </text>
    </comment>
    <comment ref="Z2" authorId="0" shapeId="0">
      <text>
        <t>Reviewer (role or name)</t>
      </text>
    </comment>
    <comment ref="AA2" authorId="0" shapeId="0">
      <text>
        <t>Date reviewed</t>
      </text>
    </comment>
    <comment ref="AB2" authorId="0" shapeId="0">
      <text>
        <t>Accept and remediate / Accept risk / Defer / Reject</t>
      </text>
    </comment>
    <comment ref="AC2" authorId="0" shapeId="0">
      <text>
        <t>Client decision authority (role or name)</t>
      </text>
    </comment>
    <comment ref="AD2" authorId="0" shapeId="0">
      <text>
        <t>Date of the decision</t>
      </text>
    </comment>
    <comment ref="AE2" authorId="0" shapeId="0">
      <text>
        <t>Conditions, rationale, or reason for risk acceptance, deferral or rejection</t>
      </text>
    </comment>
    <comment ref="AF2" authorId="0" shapeId="0">
      <text>
        <t>Calculated from which sections are complete</t>
      </text>
    </comment>
    <comment ref="AG2" authorId="0" shapeId="0">
      <text>
        <t>Calculated: who acts next</t>
      </text>
    </comment>
    <comment ref="AH2" authorId="0" shapeId="0">
      <text>
        <t>Calculated from the client decision: where the finding goes next</t>
      </text>
    </comment>
    <comment ref="AI2" authorId="0" shapeId="0">
      <text>
        <t>Jira story, exception register ID or status register ID</t>
      </text>
    </comment>
  </commentList>
</comments>
</file>

<file path=xl/comments/comment2.xml><?xml version="1.0" encoding="utf-8"?>
<comments xmlns="http://schemas.openxmlformats.org/spreadsheetml/2006/main">
  <authors>
    <author>Gap register</author>
  </authors>
  <commentList>
    <comment ref="A2" authorId="0" shapeId="0">
      <text>
        <t>Gap ID, G-01 onward</t>
      </text>
    </comment>
    <comment ref="B2" authorId="0" shapeId="0">
      <text>
        <t>Control = environment falls short (theme over findings); Capability = process or tool missing; Evidence = could not be assessed yet; Coverage = nothing measures it; Decision = waiting on a decision</t>
      </text>
    </comment>
    <comment ref="C2" authorId="0" shapeId="0">
      <text>
        <t>The gap, in one line</t>
      </text>
    </comment>
    <comment ref="D2" authorId="0" shapeId="0">
      <text>
        <t>Zero Trust pillar or domain</t>
      </text>
    </comment>
    <comment ref="E2" authorId="0" shapeId="0">
      <text>
        <t>What is in place today</t>
      </text>
    </comment>
    <comment ref="F2" authorId="0" shapeId="0">
      <text>
        <t>What closes the gap</t>
      </text>
    </comment>
    <comment ref="G2" authorId="0" shapeId="0">
      <text>
        <t>What the gap puts at risk, or what it blocks</t>
      </text>
    </comment>
    <comment ref="H2" authorId="0" shapeId="0">
      <text>
        <t>High / Medium / Low</t>
      </text>
    </comment>
    <comment ref="I2" authorId="0" shapeId="0">
      <text>
        <t>Finding IDs on the Review Trail</t>
      </text>
    </comment>
    <comment ref="J2" authorId="0" shapeId="0">
      <text>
        <t>Script and run, finding, or meeting and date where it was raised</t>
      </text>
    </comment>
    <comment ref="K2" authorId="0" shapeId="0">
      <text>
        <t>Role that closes it</t>
      </text>
    </comment>
    <comment ref="L2" authorId="0" shapeId="0">
      <text>
        <t>Open / In progress / Closed / Accepted</t>
      </text>
    </comment>
    <comment ref="M2" authorId="0" shapeId="0">
      <text>
        <t>Next action, or why it was accepted</t>
      </text>
    </comment>
    <comment ref="N2" authorId="0" shapeId="0">
      <text>
        <t>Date raised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6" customWidth="1" min="1" max="1"/>
    <col width="100" customWidth="1" min="2" max="2"/>
  </cols>
  <sheetData>
    <row r="1">
      <c r="A1" s="1" t="inlineStr">
        <is>
          <t>Findings review trail</t>
        </is>
      </c>
    </row>
    <row r="2">
      <c r="A2" s="2" t="inlineStr">
        <is>
          <t>Purpose</t>
        </is>
      </c>
      <c r="B2" s="3" t="inlineStr">
        <is>
          <t>One row per finding. Each role completes its own column group in order; the Stage, Waiting on and Disposition columns update on their own. A finding counts as decided only when its Stage is Closed.</t>
        </is>
      </c>
    </row>
    <row r="3">
      <c r="A3" s="2" t="inlineStr">
        <is>
          <t>Order</t>
        </is>
      </c>
      <c r="B3" s="3" t="inlineStr">
        <is>
          <t>1. Identity Engineer drafts the finding with evidence (blue).  2. Identity Architect assesses and proposes the solution (green).  3. Zero Trust Architect confirms alignment and maturity (purple).  4. Client decision authority decides (orange).</t>
        </is>
      </c>
    </row>
    <row r="4">
      <c r="A4" s="2" t="inlineStr">
        <is>
          <t>Which cells to edit</t>
        </is>
      </c>
      <c r="B4" s="3" t="inlineStr">
        <is>
          <t>Only the shaded cells in your own column group on the Review Trail sheet. Columns with a dropdown accept list values only. Hover over a column header for what goes in it. Do not edit the grey Disposition formulas, except Tracking ID.</t>
        </is>
      </c>
    </row>
    <row r="5">
      <c r="A5" s="2" t="inlineStr">
        <is>
          <t>Stage logic</t>
        </is>
      </c>
      <c r="B5" s="3" t="inlineStr">
        <is>
          <t>Draft = Engineer section only. Architect reviewed = Architect severity set. With client = Alignment set. Closed = Client decision set.</t>
        </is>
      </c>
    </row>
    <row r="6">
      <c r="A6" s="2" t="inlineStr">
        <is>
          <t>After the decision</t>
        </is>
      </c>
      <c r="B6" s="3" t="inlineStr">
        <is>
          <t>Accept and remediate -&gt; Jira story on the remediation backlog. Accept risk -&gt; exception register (owner, expiry, compensating control). Defer -&gt; status register (owner, risk, disposition, follow-on, target date). Reject -&gt; record the rationale. Put the resulting ID in Tracking ID.</t>
        </is>
      </c>
    </row>
    <row r="7">
      <c r="A7" s="2" t="inlineStr">
        <is>
          <t>Evidence</t>
        </is>
      </c>
      <c r="B7" s="3" t="inlineStr">
        <is>
          <t>Each finding links to its evidence note (findings\F-xx.md) in the approved evidence location: run folder, file SHA-256, run account, data-as-of time and the closure test. Never paste names or account details into this workbook.</t>
        </is>
      </c>
    </row>
    <row r="8">
      <c r="A8" s="2" t="inlineStr">
        <is>
          <t>Gaps sheet</t>
        </is>
      </c>
      <c r="B8" s="3" t="inlineStr">
        <is>
          <t>Everything that is a gap but not a counted finding: Control (a theme that groups findings), Capability (a process or tool that is missing, often raised in a meeting), Evidence (could not be assessed yet: access, inputs), Coverage (nothing measures it) and Decision (waiting on a decision). Link gaps to findings by ID; do not copy findings onto it. Close an Evidence gap when the run lands; it may then produce findings.</t>
        </is>
      </c>
    </row>
    <row r="9">
      <c r="A9" s="2" t="inlineStr">
        <is>
          <t>Definitions</t>
        </is>
      </c>
      <c r="B9" s="3" t="inlineStr">
        <is>
          <t>Severity scale, Zero Trust maturity levels, pillars, decisions and gap types: see the Definitions sheet.</t>
        </is>
      </c>
    </row>
    <row r="10">
      <c r="A10" s="2" t="inlineStr">
        <is>
          <t>Example row (illustrative)</t>
        </is>
      </c>
      <c r="B10" s="3" t="inlineStr">
        <is>
          <t>ID F-EX | Finding: security groups with no accountable owner | Source: 05 ad-groups.csv, OwnerStatus not OK | Count 42 of 310 | Observed severity Low | Architect severity Low; root cause: no owner field in the group request form; solution: make owner mandatory in the request form and assign owners for existing groups; effort M; gate G3 | ZT pillar Governance, Use least privilege, Initial -&gt; Advanced, Aligned | Client decision Accept and remediate -&gt; Remediation backlog (Jira story).</t>
        </is>
      </c>
    </row>
    <row r="12">
      <c r="A12" s="4" t="inlineStr">
        <is>
          <t>Colour key</t>
        </is>
      </c>
    </row>
    <row r="13">
      <c r="A13" s="5" t="inlineStr">
        <is>
          <t>Engineer finding</t>
        </is>
      </c>
      <c r="B13" s="6" t="inlineStr">
        <is>
          <t>Completed by: Identity Engineer</t>
        </is>
      </c>
    </row>
    <row r="14">
      <c r="A14" s="7" t="inlineStr">
        <is>
          <t>Architect assessment and solution</t>
        </is>
      </c>
      <c r="B14" s="8" t="inlineStr">
        <is>
          <t>Completed by: Identity Architect</t>
        </is>
      </c>
    </row>
    <row r="15">
      <c r="A15" s="9" t="inlineStr">
        <is>
          <t>Zero Trust alignment</t>
        </is>
      </c>
      <c r="B15" s="10" t="inlineStr">
        <is>
          <t>Completed by: Zero Trust Architect</t>
        </is>
      </c>
    </row>
    <row r="16">
      <c r="A16" s="11" t="inlineStr">
        <is>
          <t>Client response</t>
        </is>
      </c>
      <c r="B16" s="12" t="inlineStr">
        <is>
          <t>Completed by: Client decision authority</t>
        </is>
      </c>
    </row>
    <row r="17">
      <c r="A17" s="13" t="inlineStr">
        <is>
          <t>Disposition</t>
        </is>
      </c>
      <c r="B17" s="14" t="inlineStr">
        <is>
          <t>Completed by: Calculated / tracking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s>
  <sheetData>
    <row r="1">
      <c r="A1" s="15" t="inlineStr">
        <is>
          <t>Findings review trail</t>
        </is>
      </c>
    </row>
    <row r="2">
      <c r="A2" s="16" t="inlineStr">
        <is>
          <t>Counts update as the Review Trail is filled in. As of: template</t>
        </is>
      </c>
    </row>
    <row r="4">
      <c r="A4" s="17" t="inlineStr">
        <is>
          <t>Stage</t>
        </is>
      </c>
      <c r="B4" s="17" t="inlineStr">
        <is>
          <t>Findings</t>
        </is>
      </c>
    </row>
    <row r="5">
      <c r="A5" s="18" t="inlineStr">
        <is>
          <t>Draft</t>
        </is>
      </c>
      <c r="B5" s="18">
        <f>COUNTIF('Review Trail'!$AF$3:$AF$63,A5)</f>
        <v/>
      </c>
    </row>
    <row r="6">
      <c r="A6" s="18" t="inlineStr">
        <is>
          <t>Architect reviewed</t>
        </is>
      </c>
      <c r="B6" s="18">
        <f>COUNTIF('Review Trail'!$AF$3:$AF$63,A6)</f>
        <v/>
      </c>
    </row>
    <row r="7">
      <c r="A7" s="18" t="inlineStr">
        <is>
          <t>With client</t>
        </is>
      </c>
      <c r="B7" s="18">
        <f>COUNTIF('Review Trail'!$AF$3:$AF$63,A7)</f>
        <v/>
      </c>
    </row>
    <row r="8">
      <c r="A8" s="18" t="inlineStr">
        <is>
          <t>Closed</t>
        </is>
      </c>
      <c r="B8" s="18">
        <f>COUNTIF('Review Trail'!$AF$3:$AF$63,A8)</f>
        <v/>
      </c>
    </row>
    <row r="9">
      <c r="A9" s="4" t="inlineStr">
        <is>
          <t>Total</t>
        </is>
      </c>
      <c r="B9" s="4">
        <f>SUM(B5:B8)</f>
        <v/>
      </c>
    </row>
    <row r="11">
      <c r="A11" s="17" t="inlineStr">
        <is>
          <t>Observed severity</t>
        </is>
      </c>
      <c r="B11" s="17" t="inlineStr">
        <is>
          <t>Findings</t>
        </is>
      </c>
    </row>
    <row r="12">
      <c r="A12" s="18" t="inlineStr">
        <is>
          <t>Critical</t>
        </is>
      </c>
      <c r="B12" s="18">
        <f>COUNTIF('Review Trail'!$F$3:$F$63,A12)</f>
        <v/>
      </c>
    </row>
    <row r="13">
      <c r="A13" s="18" t="inlineStr">
        <is>
          <t>High</t>
        </is>
      </c>
      <c r="B13" s="18">
        <f>COUNTIF('Review Trail'!$F$3:$F$63,A13)</f>
        <v/>
      </c>
    </row>
    <row r="14">
      <c r="A14" s="18" t="inlineStr">
        <is>
          <t>Medium</t>
        </is>
      </c>
      <c r="B14" s="18">
        <f>COUNTIF('Review Trail'!$F$3:$F$63,A14)</f>
        <v/>
      </c>
    </row>
    <row r="15">
      <c r="A15" s="18" t="inlineStr">
        <is>
          <t>Low</t>
        </is>
      </c>
      <c r="B15" s="18">
        <f>COUNTIF('Review Trail'!$F$3:$F$63,A15)</f>
        <v/>
      </c>
    </row>
    <row r="16">
      <c r="A16" s="4" t="inlineStr">
        <is>
          <t>Total</t>
        </is>
      </c>
      <c r="B16" s="4">
        <f>SUM(B12:B15)</f>
        <v/>
      </c>
    </row>
    <row r="18">
      <c r="A18" s="17" t="inlineStr">
        <is>
          <t>Architect severity</t>
        </is>
      </c>
      <c r="B18" s="17" t="inlineStr">
        <is>
          <t>Findings</t>
        </is>
      </c>
    </row>
    <row r="19">
      <c r="A19" s="18" t="inlineStr">
        <is>
          <t>Critical</t>
        </is>
      </c>
      <c r="B19" s="18">
        <f>COUNTIF('Review Trail'!$L$3:$L$63,A19)</f>
        <v/>
      </c>
    </row>
    <row r="20">
      <c r="A20" s="18" t="inlineStr">
        <is>
          <t>High</t>
        </is>
      </c>
      <c r="B20" s="18">
        <f>COUNTIF('Review Trail'!$L$3:$L$63,A20)</f>
        <v/>
      </c>
    </row>
    <row r="21">
      <c r="A21" s="18" t="inlineStr">
        <is>
          <t>Medium</t>
        </is>
      </c>
      <c r="B21" s="18">
        <f>COUNTIF('Review Trail'!$L$3:$L$63,A21)</f>
        <v/>
      </c>
    </row>
    <row r="22">
      <c r="A22" s="18" t="inlineStr">
        <is>
          <t>Low</t>
        </is>
      </c>
      <c r="B22" s="18">
        <f>COUNTIF('Review Trail'!$L$3:$L$63,A22)</f>
        <v/>
      </c>
    </row>
    <row r="23">
      <c r="A23" s="4" t="inlineStr">
        <is>
          <t>Total</t>
        </is>
      </c>
      <c r="B23" s="4">
        <f>SUM(B19:B22)</f>
        <v/>
      </c>
    </row>
    <row r="25">
      <c r="A25" s="17" t="inlineStr">
        <is>
          <t>Client decision</t>
        </is>
      </c>
      <c r="B25" s="17" t="inlineStr">
        <is>
          <t>Findings</t>
        </is>
      </c>
    </row>
    <row r="26">
      <c r="A26" s="18" t="inlineStr">
        <is>
          <t>Accept and remediate</t>
        </is>
      </c>
      <c r="B26" s="18">
        <f>COUNTIF('Review Trail'!$AB$3:$AB$63,A26)</f>
        <v/>
      </c>
    </row>
    <row r="27">
      <c r="A27" s="18" t="inlineStr">
        <is>
          <t>Accept risk</t>
        </is>
      </c>
      <c r="B27" s="18">
        <f>COUNTIF('Review Trail'!$AB$3:$AB$63,A27)</f>
        <v/>
      </c>
    </row>
    <row r="28">
      <c r="A28" s="18" t="inlineStr">
        <is>
          <t>Defer</t>
        </is>
      </c>
      <c r="B28" s="18">
        <f>COUNTIF('Review Trail'!$AB$3:$AB$63,A28)</f>
        <v/>
      </c>
    </row>
    <row r="29">
      <c r="A29" s="18" t="inlineStr">
        <is>
          <t>Reject</t>
        </is>
      </c>
      <c r="B29" s="18">
        <f>COUNTIF('Review Trail'!$AB$3:$AB$63,A29)</f>
        <v/>
      </c>
    </row>
    <row r="30">
      <c r="A30" s="4" t="inlineStr">
        <is>
          <t>Total</t>
        </is>
      </c>
      <c r="B30" s="4">
        <f>SUM(B26:B29)</f>
        <v/>
      </c>
    </row>
    <row r="32">
      <c r="A32" s="17" t="inlineStr">
        <is>
          <t>Zero Trust pillar</t>
        </is>
      </c>
      <c r="B32" s="17" t="inlineStr">
        <is>
          <t>Findings</t>
        </is>
      </c>
    </row>
    <row r="33">
      <c r="A33" s="18" t="inlineStr">
        <is>
          <t>Identity</t>
        </is>
      </c>
      <c r="B33" s="18">
        <f>COUNTIF('Review Trail'!$T$3:$T$63,A33)</f>
        <v/>
      </c>
    </row>
    <row r="34">
      <c r="A34" s="18" t="inlineStr">
        <is>
          <t>Devices</t>
        </is>
      </c>
      <c r="B34" s="18">
        <f>COUNTIF('Review Trail'!$T$3:$T$63,A34)</f>
        <v/>
      </c>
    </row>
    <row r="35">
      <c r="A35" s="18" t="inlineStr">
        <is>
          <t>Networks</t>
        </is>
      </c>
      <c r="B35" s="18">
        <f>COUNTIF('Review Trail'!$T$3:$T$63,A35)</f>
        <v/>
      </c>
    </row>
    <row r="36">
      <c r="A36" s="18" t="inlineStr">
        <is>
          <t>Applications and workloads</t>
        </is>
      </c>
      <c r="B36" s="18">
        <f>COUNTIF('Review Trail'!$T$3:$T$63,A36)</f>
        <v/>
      </c>
    </row>
    <row r="37">
      <c r="A37" s="18" t="inlineStr">
        <is>
          <t>Data</t>
        </is>
      </c>
      <c r="B37" s="18">
        <f>COUNTIF('Review Trail'!$T$3:$T$63,A37)</f>
        <v/>
      </c>
    </row>
    <row r="38">
      <c r="A38" s="18" t="inlineStr">
        <is>
          <t>Visibility and analytics</t>
        </is>
      </c>
      <c r="B38" s="18">
        <f>COUNTIF('Review Trail'!$T$3:$T$63,A38)</f>
        <v/>
      </c>
    </row>
    <row r="39">
      <c r="A39" s="18" t="inlineStr">
        <is>
          <t>Automation and orchestration</t>
        </is>
      </c>
      <c r="B39" s="18">
        <f>COUNTIF('Review Trail'!$T$3:$T$63,A39)</f>
        <v/>
      </c>
    </row>
    <row r="40">
      <c r="A40" s="18" t="inlineStr">
        <is>
          <t>Governance</t>
        </is>
      </c>
      <c r="B40" s="18">
        <f>COUNTIF('Review Trail'!$T$3:$T$63,A40)</f>
        <v/>
      </c>
    </row>
    <row r="41">
      <c r="A41" s="4" t="inlineStr">
        <is>
          <t>Total</t>
        </is>
      </c>
      <c r="B41" s="4">
        <f>SUM(B33:B40)</f>
        <v/>
      </c>
    </row>
    <row r="43">
      <c r="A43" s="19" t="inlineStr">
        <is>
          <t>Gap type</t>
        </is>
      </c>
      <c r="B43" s="19" t="inlineStr">
        <is>
          <t>Gaps</t>
        </is>
      </c>
    </row>
    <row r="44">
      <c r="A44" s="18" t="inlineStr">
        <is>
          <t>Control</t>
        </is>
      </c>
      <c r="B44" s="18">
        <f>COUNTIF(Gaps!$B$3:$B$43,A44)</f>
        <v/>
      </c>
    </row>
    <row r="45">
      <c r="A45" s="18" t="inlineStr">
        <is>
          <t>Capability</t>
        </is>
      </c>
      <c r="B45" s="18">
        <f>COUNTIF(Gaps!$B$3:$B$43,A45)</f>
        <v/>
      </c>
    </row>
    <row r="46">
      <c r="A46" s="18" t="inlineStr">
        <is>
          <t>Evidence</t>
        </is>
      </c>
      <c r="B46" s="18">
        <f>COUNTIF(Gaps!$B$3:$B$43,A46)</f>
        <v/>
      </c>
    </row>
    <row r="47">
      <c r="A47" s="18" t="inlineStr">
        <is>
          <t>Coverage</t>
        </is>
      </c>
      <c r="B47" s="18">
        <f>COUNTIF(Gaps!$B$3:$B$43,A47)</f>
        <v/>
      </c>
    </row>
    <row r="48">
      <c r="A48" s="18" t="inlineStr">
        <is>
          <t>Decision</t>
        </is>
      </c>
      <c r="B48" s="18">
        <f>COUNTIF(Gaps!$B$3:$B$43,A48)</f>
        <v/>
      </c>
    </row>
    <row r="49">
      <c r="A49" s="4" t="inlineStr">
        <is>
          <t>Total</t>
        </is>
      </c>
      <c r="B49" s="4">
        <f>SUM(B44:B48)</f>
        <v/>
      </c>
    </row>
    <row r="51">
      <c r="A51" s="19" t="inlineStr">
        <is>
          <t>Gap status</t>
        </is>
      </c>
      <c r="B51" s="19" t="inlineStr">
        <is>
          <t>Gaps</t>
        </is>
      </c>
    </row>
    <row r="52">
      <c r="A52" s="18" t="inlineStr">
        <is>
          <t>Open</t>
        </is>
      </c>
      <c r="B52" s="18">
        <f>COUNTIF(Gaps!$L$3:$L$43,A52)</f>
        <v/>
      </c>
    </row>
    <row r="53">
      <c r="A53" s="18" t="inlineStr">
        <is>
          <t>In progress</t>
        </is>
      </c>
      <c r="B53" s="18">
        <f>COUNTIF(Gaps!$L$3:$L$43,A53)</f>
        <v/>
      </c>
    </row>
    <row r="54">
      <c r="A54" s="18" t="inlineStr">
        <is>
          <t>Closed</t>
        </is>
      </c>
      <c r="B54" s="18">
        <f>COUNTIF(Gaps!$L$3:$L$43,A54)</f>
        <v/>
      </c>
    </row>
    <row r="55">
      <c r="A55" s="18" t="inlineStr">
        <is>
          <t>Accepted</t>
        </is>
      </c>
      <c r="B55" s="18">
        <f>COUNTIF(Gaps!$L$3:$L$43,A55)</f>
        <v/>
      </c>
    </row>
    <row r="56">
      <c r="A56" s="4" t="inlineStr">
        <is>
          <t>Total</t>
        </is>
      </c>
      <c r="B56" s="4">
        <f>SUM(B52:B55)</f>
        <v/>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AI63"/>
  <sheetViews>
    <sheetView zoomScale="90" workbookViewId="0">
      <pane xSplit="2" ySplit="2" topLeftCell="C3"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34" customWidth="1" min="3" max="3"/>
    <col width="16" customWidth="1" min="4" max="4"/>
    <col width="22" customWidth="1" min="5" max="5"/>
    <col width="12" customWidth="1" min="6" max="6"/>
    <col width="22" customWidth="1" min="7" max="7"/>
    <col width="26" customWidth="1" min="8" max="8"/>
    <col width="36" customWidth="1" min="9" max="9"/>
    <col width="18" customWidth="1" min="10" max="10"/>
    <col width="12" customWidth="1" min="11" max="11"/>
    <col width="12" customWidth="1" min="12" max="12"/>
    <col width="30" customWidth="1" min="13" max="13"/>
    <col width="40" customWidth="1" min="14" max="14"/>
    <col width="9" customWidth="1" min="15" max="15"/>
    <col width="24" customWidth="1" min="16" max="16"/>
    <col width="14" customWidth="1" min="17" max="17"/>
    <col width="16" customWidth="1" min="18" max="18"/>
    <col width="12" customWidth="1" min="19" max="19"/>
    <col width="18" customWidth="1" min="20" max="20"/>
    <col width="20" customWidth="1" min="21" max="21"/>
    <col width="12" customWidth="1" min="22" max="22"/>
    <col width="12" customWidth="1" min="23" max="23"/>
    <col width="16" customWidth="1" min="24" max="24"/>
    <col width="30" customWidth="1" min="25" max="25"/>
    <col width="16" customWidth="1" min="26" max="26"/>
    <col width="12" customWidth="1" min="27" max="27"/>
    <col width="18" customWidth="1" min="28" max="28"/>
    <col width="16" customWidth="1" min="29" max="29"/>
    <col width="12" customWidth="1" min="30" max="30"/>
    <col width="32" customWidth="1" min="31" max="31"/>
    <col width="16" customWidth="1" min="32" max="32"/>
    <col width="18" customWidth="1" min="33" max="33"/>
    <col width="30" customWidth="1" min="34" max="34"/>
    <col width="16" customWidth="1" min="35" max="35"/>
  </cols>
  <sheetData>
    <row r="1" ht="22" customHeight="1">
      <c r="A1" s="20" t="inlineStr">
        <is>
          <t>Engineer finding  (Identity Engineer)</t>
        </is>
      </c>
      <c r="L1" s="21" t="inlineStr">
        <is>
          <t>Architect assessment and solution  (Identity Architect)</t>
        </is>
      </c>
      <c r="T1" s="22" t="inlineStr">
        <is>
          <t>Zero Trust alignment  (Zero Trust Architect)</t>
        </is>
      </c>
      <c r="AB1" s="23" t="inlineStr">
        <is>
          <t>Client response  (Client decision authority)</t>
        </is>
      </c>
      <c r="AF1" s="24" t="inlineStr">
        <is>
          <t>Disposition  (Calculated / tracking)</t>
        </is>
      </c>
    </row>
    <row r="2" ht="42" customHeight="1">
      <c r="A2" s="25" t="inlineStr">
        <is>
          <t>ID</t>
        </is>
      </c>
      <c r="B2" s="25" t="inlineStr">
        <is>
          <t>Finding</t>
        </is>
      </c>
      <c r="C2" s="25" t="inlineStr">
        <is>
          <t>Source and filter</t>
        </is>
      </c>
      <c r="D2" s="25" t="inlineStr">
        <is>
          <t>Count</t>
        </is>
      </c>
      <c r="E2" s="25" t="inlineStr">
        <is>
          <t>Population</t>
        </is>
      </c>
      <c r="F2" s="25" t="inlineStr">
        <is>
          <t>Observed severity</t>
        </is>
      </c>
      <c r="G2" s="25" t="inlineStr">
        <is>
          <t>HITRUST CSF</t>
        </is>
      </c>
      <c r="H2" s="25" t="inlineStr">
        <is>
          <t>Proposed ZT pillar / principle</t>
        </is>
      </c>
      <c r="I2" s="25" t="inlineStr">
        <is>
          <t>Initial recommendation</t>
        </is>
      </c>
      <c r="J2" s="25" t="inlineStr">
        <is>
          <t>Evidence note</t>
        </is>
      </c>
      <c r="K2" s="25" t="inlineStr">
        <is>
          <t>Engineer date</t>
        </is>
      </c>
      <c r="L2" s="26" t="inlineStr">
        <is>
          <t>Architect severity</t>
        </is>
      </c>
      <c r="M2" s="26" t="inlineStr">
        <is>
          <t>Root cause</t>
        </is>
      </c>
      <c r="N2" s="26" t="inlineStr">
        <is>
          <t>Proposed solution</t>
        </is>
      </c>
      <c r="O2" s="26" t="inlineStr">
        <is>
          <t>Effort</t>
        </is>
      </c>
      <c r="P2" s="26" t="inlineStr">
        <is>
          <t>Dependencies</t>
        </is>
      </c>
      <c r="Q2" s="26" t="inlineStr">
        <is>
          <t>Target gate / sprint</t>
        </is>
      </c>
      <c r="R2" s="26" t="inlineStr">
        <is>
          <t>Architect</t>
        </is>
      </c>
      <c r="S2" s="26" t="inlineStr">
        <is>
          <t>Architect date</t>
        </is>
      </c>
      <c r="T2" s="27" t="inlineStr">
        <is>
          <t>ZT pillar</t>
        </is>
      </c>
      <c r="U2" s="27" t="inlineStr">
        <is>
          <t>ZT principle</t>
        </is>
      </c>
      <c r="V2" s="27" t="inlineStr">
        <is>
          <t>Current maturity</t>
        </is>
      </c>
      <c r="W2" s="27" t="inlineStr">
        <is>
          <t>Target maturity</t>
        </is>
      </c>
      <c r="X2" s="27" t="inlineStr">
        <is>
          <t>Alignment</t>
        </is>
      </c>
      <c r="Y2" s="27" t="inlineStr">
        <is>
          <t>ZT comment</t>
        </is>
      </c>
      <c r="Z2" s="27" t="inlineStr">
        <is>
          <t>ZT Architect</t>
        </is>
      </c>
      <c r="AA2" s="27" t="inlineStr">
        <is>
          <t>ZT date</t>
        </is>
      </c>
      <c r="AB2" s="28" t="inlineStr">
        <is>
          <t>Client decision</t>
        </is>
      </c>
      <c r="AC2" s="28" t="inlineStr">
        <is>
          <t>Decided by</t>
        </is>
      </c>
      <c r="AD2" s="28" t="inlineStr">
        <is>
          <t>Decision date</t>
        </is>
      </c>
      <c r="AE2" s="28" t="inlineStr">
        <is>
          <t>Client comment</t>
        </is>
      </c>
      <c r="AF2" s="29" t="inlineStr">
        <is>
          <t>Stage</t>
        </is>
      </c>
      <c r="AG2" s="29" t="inlineStr">
        <is>
          <t>Waiting on</t>
        </is>
      </c>
      <c r="AH2" s="29" t="inlineStr">
        <is>
          <t>Disposition</t>
        </is>
      </c>
      <c r="AI2" s="29" t="inlineStr">
        <is>
          <t>Tracking ID</t>
        </is>
      </c>
    </row>
    <row r="3">
      <c r="A3" s="30" t="n"/>
      <c r="B3" s="30" t="n"/>
      <c r="C3" s="30" t="n"/>
      <c r="D3" s="30" t="n"/>
      <c r="E3" s="30" t="n"/>
      <c r="F3" s="30" t="n"/>
      <c r="G3" s="30" t="n"/>
      <c r="H3" s="30" t="n"/>
      <c r="I3" s="30" t="n"/>
      <c r="J3" s="30" t="n"/>
      <c r="K3" s="31" t="n"/>
      <c r="L3" s="32" t="n"/>
      <c r="M3" s="32" t="n"/>
      <c r="N3" s="32" t="n"/>
      <c r="O3" s="32" t="n"/>
      <c r="P3" s="32" t="n"/>
      <c r="Q3" s="32" t="n"/>
      <c r="R3" s="32" t="n"/>
      <c r="S3" s="33" t="n"/>
      <c r="T3" s="34" t="n"/>
      <c r="U3" s="34" t="n"/>
      <c r="V3" s="34" t="n"/>
      <c r="W3" s="34" t="n"/>
      <c r="X3" s="34" t="n"/>
      <c r="Y3" s="34" t="n"/>
      <c r="Z3" s="34" t="n"/>
      <c r="AA3" s="35" t="n"/>
      <c r="AB3" s="36" t="n"/>
      <c r="AC3" s="36" t="n"/>
      <c r="AD3" s="37" t="n"/>
      <c r="AE3" s="36" t="n"/>
      <c r="AF3" s="38">
        <f>IF(A3="","",IF(AB3&lt;&gt;"","Closed",IF(X3&lt;&gt;"","With client",IF(L3&lt;&gt;"","Architect reviewed","Draft"))))</f>
        <v/>
      </c>
      <c r="AG3" s="39">
        <f>IF(A3="","",IF(AB3&lt;&gt;"","None",IF(X3&lt;&gt;"","Client",IF(L3&lt;&gt;"","Zero Trust Architect","Identity Architect"))))</f>
        <v/>
      </c>
      <c r="AH3" s="39">
        <f>IF(AB3="Accept and remediate","Remediation backlog (Jira story)",IF(AB3="Accept risk","Exception register (owner, expiry, compensating control)",IF(AB3="Defer","Status register (owner, risk, follow-on, target date)",IF(AB3="Reject","Record the rationale; close",""))))</f>
        <v/>
      </c>
      <c r="AI3" s="39" t="n"/>
    </row>
    <row r="4">
      <c r="A4" s="30" t="n"/>
      <c r="B4" s="30" t="n"/>
      <c r="C4" s="30" t="n"/>
      <c r="D4" s="30" t="n"/>
      <c r="E4" s="30" t="n"/>
      <c r="F4" s="30" t="n"/>
      <c r="G4" s="30" t="n"/>
      <c r="H4" s="30" t="n"/>
      <c r="I4" s="30" t="n"/>
      <c r="J4" s="30" t="n"/>
      <c r="K4" s="31" t="n"/>
      <c r="L4" s="32" t="n"/>
      <c r="M4" s="32" t="n"/>
      <c r="N4" s="32" t="n"/>
      <c r="O4" s="32" t="n"/>
      <c r="P4" s="32" t="n"/>
      <c r="Q4" s="32" t="n"/>
      <c r="R4" s="32" t="n"/>
      <c r="S4" s="33" t="n"/>
      <c r="T4" s="34" t="n"/>
      <c r="U4" s="34" t="n"/>
      <c r="V4" s="34" t="n"/>
      <c r="W4" s="34" t="n"/>
      <c r="X4" s="34" t="n"/>
      <c r="Y4" s="34" t="n"/>
      <c r="Z4" s="34" t="n"/>
      <c r="AA4" s="35" t="n"/>
      <c r="AB4" s="36" t="n"/>
      <c r="AC4" s="36" t="n"/>
      <c r="AD4" s="37" t="n"/>
      <c r="AE4" s="36" t="n"/>
      <c r="AF4" s="38">
        <f>IF(A4="","",IF(AB4&lt;&gt;"","Closed",IF(X4&lt;&gt;"","With client",IF(L4&lt;&gt;"","Architect reviewed","Draft"))))</f>
        <v/>
      </c>
      <c r="AG4" s="39">
        <f>IF(A4="","",IF(AB4&lt;&gt;"","None",IF(X4&lt;&gt;"","Client",IF(L4&lt;&gt;"","Zero Trust Architect","Identity Architect"))))</f>
        <v/>
      </c>
      <c r="AH4" s="39">
        <f>IF(AB4="Accept and remediate","Remediation backlog (Jira story)",IF(AB4="Accept risk","Exception register (owner, expiry, compensating control)",IF(AB4="Defer","Status register (owner, risk, follow-on, target date)",IF(AB4="Reject","Record the rationale; close",""))))</f>
        <v/>
      </c>
      <c r="AI4" s="39" t="n"/>
    </row>
    <row r="5">
      <c r="A5" s="30" t="n"/>
      <c r="B5" s="30" t="n"/>
      <c r="C5" s="30" t="n"/>
      <c r="D5" s="30" t="n"/>
      <c r="E5" s="30" t="n"/>
      <c r="F5" s="30" t="n"/>
      <c r="G5" s="30" t="n"/>
      <c r="H5" s="30" t="n"/>
      <c r="I5" s="30" t="n"/>
      <c r="J5" s="30" t="n"/>
      <c r="K5" s="31" t="n"/>
      <c r="L5" s="32" t="n"/>
      <c r="M5" s="32" t="n"/>
      <c r="N5" s="32" t="n"/>
      <c r="O5" s="32" t="n"/>
      <c r="P5" s="32" t="n"/>
      <c r="Q5" s="32" t="n"/>
      <c r="R5" s="32" t="n"/>
      <c r="S5" s="33" t="n"/>
      <c r="T5" s="34" t="n"/>
      <c r="U5" s="34" t="n"/>
      <c r="V5" s="34" t="n"/>
      <c r="W5" s="34" t="n"/>
      <c r="X5" s="34" t="n"/>
      <c r="Y5" s="34" t="n"/>
      <c r="Z5" s="34" t="n"/>
      <c r="AA5" s="35" t="n"/>
      <c r="AB5" s="36" t="n"/>
      <c r="AC5" s="36" t="n"/>
      <c r="AD5" s="37" t="n"/>
      <c r="AE5" s="36" t="n"/>
      <c r="AF5" s="38">
        <f>IF(A5="","",IF(AB5&lt;&gt;"","Closed",IF(X5&lt;&gt;"","With client",IF(L5&lt;&gt;"","Architect reviewed","Draft"))))</f>
        <v/>
      </c>
      <c r="AG5" s="39">
        <f>IF(A5="","",IF(AB5&lt;&gt;"","None",IF(X5&lt;&gt;"","Client",IF(L5&lt;&gt;"","Zero Trust Architect","Identity Architect"))))</f>
        <v/>
      </c>
      <c r="AH5" s="39">
        <f>IF(AB5="Accept and remediate","Remediation backlog (Jira story)",IF(AB5="Accept risk","Exception register (owner, expiry, compensating control)",IF(AB5="Defer","Status register (owner, risk, follow-on, target date)",IF(AB5="Reject","Record the rationale; close",""))))</f>
        <v/>
      </c>
      <c r="AI5" s="39" t="n"/>
    </row>
    <row r="6">
      <c r="A6" s="30" t="n"/>
      <c r="B6" s="30" t="n"/>
      <c r="C6" s="30" t="n"/>
      <c r="D6" s="30" t="n"/>
      <c r="E6" s="30" t="n"/>
      <c r="F6" s="30" t="n"/>
      <c r="G6" s="30" t="n"/>
      <c r="H6" s="30" t="n"/>
      <c r="I6" s="30" t="n"/>
      <c r="J6" s="30" t="n"/>
      <c r="K6" s="31" t="n"/>
      <c r="L6" s="32" t="n"/>
      <c r="M6" s="32" t="n"/>
      <c r="N6" s="32" t="n"/>
      <c r="O6" s="32" t="n"/>
      <c r="P6" s="32" t="n"/>
      <c r="Q6" s="32" t="n"/>
      <c r="R6" s="32" t="n"/>
      <c r="S6" s="33" t="n"/>
      <c r="T6" s="34" t="n"/>
      <c r="U6" s="34" t="n"/>
      <c r="V6" s="34" t="n"/>
      <c r="W6" s="34" t="n"/>
      <c r="X6" s="34" t="n"/>
      <c r="Y6" s="34" t="n"/>
      <c r="Z6" s="34" t="n"/>
      <c r="AA6" s="35" t="n"/>
      <c r="AB6" s="36" t="n"/>
      <c r="AC6" s="36" t="n"/>
      <c r="AD6" s="37" t="n"/>
      <c r="AE6" s="36" t="n"/>
      <c r="AF6" s="38">
        <f>IF(A6="","",IF(AB6&lt;&gt;"","Closed",IF(X6&lt;&gt;"","With client",IF(L6&lt;&gt;"","Architect reviewed","Draft"))))</f>
        <v/>
      </c>
      <c r="AG6" s="39">
        <f>IF(A6="","",IF(AB6&lt;&gt;"","None",IF(X6&lt;&gt;"","Client",IF(L6&lt;&gt;"","Zero Trust Architect","Identity Architect"))))</f>
        <v/>
      </c>
      <c r="AH6" s="39">
        <f>IF(AB6="Accept and remediate","Remediation backlog (Jira story)",IF(AB6="Accept risk","Exception register (owner, expiry, compensating control)",IF(AB6="Defer","Status register (owner, risk, follow-on, target date)",IF(AB6="Reject","Record the rationale; close",""))))</f>
        <v/>
      </c>
      <c r="AI6" s="39" t="n"/>
    </row>
    <row r="7">
      <c r="A7" s="30" t="n"/>
      <c r="B7" s="30" t="n"/>
      <c r="C7" s="30" t="n"/>
      <c r="D7" s="30" t="n"/>
      <c r="E7" s="30" t="n"/>
      <c r="F7" s="30" t="n"/>
      <c r="G7" s="30" t="n"/>
      <c r="H7" s="30" t="n"/>
      <c r="I7" s="30" t="n"/>
      <c r="J7" s="30" t="n"/>
      <c r="K7" s="31" t="n"/>
      <c r="L7" s="32" t="n"/>
      <c r="M7" s="32" t="n"/>
      <c r="N7" s="32" t="n"/>
      <c r="O7" s="32" t="n"/>
      <c r="P7" s="32" t="n"/>
      <c r="Q7" s="32" t="n"/>
      <c r="R7" s="32" t="n"/>
      <c r="S7" s="33" t="n"/>
      <c r="T7" s="34" t="n"/>
      <c r="U7" s="34" t="n"/>
      <c r="V7" s="34" t="n"/>
      <c r="W7" s="34" t="n"/>
      <c r="X7" s="34" t="n"/>
      <c r="Y7" s="34" t="n"/>
      <c r="Z7" s="34" t="n"/>
      <c r="AA7" s="35" t="n"/>
      <c r="AB7" s="36" t="n"/>
      <c r="AC7" s="36" t="n"/>
      <c r="AD7" s="37" t="n"/>
      <c r="AE7" s="36" t="n"/>
      <c r="AF7" s="38">
        <f>IF(A7="","",IF(AB7&lt;&gt;"","Closed",IF(X7&lt;&gt;"","With client",IF(L7&lt;&gt;"","Architect reviewed","Draft"))))</f>
        <v/>
      </c>
      <c r="AG7" s="39">
        <f>IF(A7="","",IF(AB7&lt;&gt;"","None",IF(X7&lt;&gt;"","Client",IF(L7&lt;&gt;"","Zero Trust Architect","Identity Architect"))))</f>
        <v/>
      </c>
      <c r="AH7" s="39">
        <f>IF(AB7="Accept and remediate","Remediation backlog (Jira story)",IF(AB7="Accept risk","Exception register (owner, expiry, compensating control)",IF(AB7="Defer","Status register (owner, risk, follow-on, target date)",IF(AB7="Reject","Record the rationale; close",""))))</f>
        <v/>
      </c>
      <c r="AI7" s="39" t="n"/>
    </row>
    <row r="8">
      <c r="A8" s="30" t="n"/>
      <c r="B8" s="30" t="n"/>
      <c r="C8" s="30" t="n"/>
      <c r="D8" s="30" t="n"/>
      <c r="E8" s="30" t="n"/>
      <c r="F8" s="30" t="n"/>
      <c r="G8" s="30" t="n"/>
      <c r="H8" s="30" t="n"/>
      <c r="I8" s="30" t="n"/>
      <c r="J8" s="30" t="n"/>
      <c r="K8" s="31" t="n"/>
      <c r="L8" s="32" t="n"/>
      <c r="M8" s="32" t="n"/>
      <c r="N8" s="32" t="n"/>
      <c r="O8" s="32" t="n"/>
      <c r="P8" s="32" t="n"/>
      <c r="Q8" s="32" t="n"/>
      <c r="R8" s="32" t="n"/>
      <c r="S8" s="33" t="n"/>
      <c r="T8" s="34" t="n"/>
      <c r="U8" s="34" t="n"/>
      <c r="V8" s="34" t="n"/>
      <c r="W8" s="34" t="n"/>
      <c r="X8" s="34" t="n"/>
      <c r="Y8" s="34" t="n"/>
      <c r="Z8" s="34" t="n"/>
      <c r="AA8" s="35" t="n"/>
      <c r="AB8" s="36" t="n"/>
      <c r="AC8" s="36" t="n"/>
      <c r="AD8" s="37" t="n"/>
      <c r="AE8" s="36" t="n"/>
      <c r="AF8" s="38">
        <f>IF(A8="","",IF(AB8&lt;&gt;"","Closed",IF(X8&lt;&gt;"","With client",IF(L8&lt;&gt;"","Architect reviewed","Draft"))))</f>
        <v/>
      </c>
      <c r="AG8" s="39">
        <f>IF(A8="","",IF(AB8&lt;&gt;"","None",IF(X8&lt;&gt;"","Client",IF(L8&lt;&gt;"","Zero Trust Architect","Identity Architect"))))</f>
        <v/>
      </c>
      <c r="AH8" s="39">
        <f>IF(AB8="Accept and remediate","Remediation backlog (Jira story)",IF(AB8="Accept risk","Exception register (owner, expiry, compensating control)",IF(AB8="Defer","Status register (owner, risk, follow-on, target date)",IF(AB8="Reject","Record the rationale; close",""))))</f>
        <v/>
      </c>
      <c r="AI8" s="39" t="n"/>
    </row>
    <row r="9">
      <c r="A9" s="30" t="n"/>
      <c r="B9" s="30" t="n"/>
      <c r="C9" s="30" t="n"/>
      <c r="D9" s="30" t="n"/>
      <c r="E9" s="30" t="n"/>
      <c r="F9" s="30" t="n"/>
      <c r="G9" s="30" t="n"/>
      <c r="H9" s="30" t="n"/>
      <c r="I9" s="30" t="n"/>
      <c r="J9" s="30" t="n"/>
      <c r="K9" s="31" t="n"/>
      <c r="L9" s="32" t="n"/>
      <c r="M9" s="32" t="n"/>
      <c r="N9" s="32" t="n"/>
      <c r="O9" s="32" t="n"/>
      <c r="P9" s="32" t="n"/>
      <c r="Q9" s="32" t="n"/>
      <c r="R9" s="32" t="n"/>
      <c r="S9" s="33" t="n"/>
      <c r="T9" s="34" t="n"/>
      <c r="U9" s="34" t="n"/>
      <c r="V9" s="34" t="n"/>
      <c r="W9" s="34" t="n"/>
      <c r="X9" s="34" t="n"/>
      <c r="Y9" s="34" t="n"/>
      <c r="Z9" s="34" t="n"/>
      <c r="AA9" s="35" t="n"/>
      <c r="AB9" s="36" t="n"/>
      <c r="AC9" s="36" t="n"/>
      <c r="AD9" s="37" t="n"/>
      <c r="AE9" s="36" t="n"/>
      <c r="AF9" s="38">
        <f>IF(A9="","",IF(AB9&lt;&gt;"","Closed",IF(X9&lt;&gt;"","With client",IF(L9&lt;&gt;"","Architect reviewed","Draft"))))</f>
        <v/>
      </c>
      <c r="AG9" s="39">
        <f>IF(A9="","",IF(AB9&lt;&gt;"","None",IF(X9&lt;&gt;"","Client",IF(L9&lt;&gt;"","Zero Trust Architect","Identity Architect"))))</f>
        <v/>
      </c>
      <c r="AH9" s="39">
        <f>IF(AB9="Accept and remediate","Remediation backlog (Jira story)",IF(AB9="Accept risk","Exception register (owner, expiry, compensating control)",IF(AB9="Defer","Status register (owner, risk, follow-on, target date)",IF(AB9="Reject","Record the rationale; close",""))))</f>
        <v/>
      </c>
      <c r="AI9" s="39" t="n"/>
    </row>
    <row r="10">
      <c r="A10" s="30" t="n"/>
      <c r="B10" s="30" t="n"/>
      <c r="C10" s="30" t="n"/>
      <c r="D10" s="30" t="n"/>
      <c r="E10" s="30" t="n"/>
      <c r="F10" s="30" t="n"/>
      <c r="G10" s="30" t="n"/>
      <c r="H10" s="30" t="n"/>
      <c r="I10" s="30" t="n"/>
      <c r="J10" s="30" t="n"/>
      <c r="K10" s="31" t="n"/>
      <c r="L10" s="32" t="n"/>
      <c r="M10" s="32" t="n"/>
      <c r="N10" s="32" t="n"/>
      <c r="O10" s="32" t="n"/>
      <c r="P10" s="32" t="n"/>
      <c r="Q10" s="32" t="n"/>
      <c r="R10" s="32" t="n"/>
      <c r="S10" s="33" t="n"/>
      <c r="T10" s="34" t="n"/>
      <c r="U10" s="34" t="n"/>
      <c r="V10" s="34" t="n"/>
      <c r="W10" s="34" t="n"/>
      <c r="X10" s="34" t="n"/>
      <c r="Y10" s="34" t="n"/>
      <c r="Z10" s="34" t="n"/>
      <c r="AA10" s="35" t="n"/>
      <c r="AB10" s="36" t="n"/>
      <c r="AC10" s="36" t="n"/>
      <c r="AD10" s="37" t="n"/>
      <c r="AE10" s="36" t="n"/>
      <c r="AF10" s="38">
        <f>IF(A10="","",IF(AB10&lt;&gt;"","Closed",IF(X10&lt;&gt;"","With client",IF(L10&lt;&gt;"","Architect reviewed","Draft"))))</f>
        <v/>
      </c>
      <c r="AG10" s="39">
        <f>IF(A10="","",IF(AB10&lt;&gt;"","None",IF(X10&lt;&gt;"","Client",IF(L10&lt;&gt;"","Zero Trust Architect","Identity Architect"))))</f>
        <v/>
      </c>
      <c r="AH10" s="39">
        <f>IF(AB10="Accept and remediate","Remediation backlog (Jira story)",IF(AB10="Accept risk","Exception register (owner, expiry, compensating control)",IF(AB10="Defer","Status register (owner, risk, follow-on, target date)",IF(AB10="Reject","Record the rationale; close",""))))</f>
        <v/>
      </c>
      <c r="AI10" s="39" t="n"/>
    </row>
    <row r="11">
      <c r="A11" s="30" t="n"/>
      <c r="B11" s="30" t="n"/>
      <c r="C11" s="30" t="n"/>
      <c r="D11" s="30" t="n"/>
      <c r="E11" s="30" t="n"/>
      <c r="F11" s="30" t="n"/>
      <c r="G11" s="30" t="n"/>
      <c r="H11" s="30" t="n"/>
      <c r="I11" s="30" t="n"/>
      <c r="J11" s="30" t="n"/>
      <c r="K11" s="31" t="n"/>
      <c r="L11" s="32" t="n"/>
      <c r="M11" s="32" t="n"/>
      <c r="N11" s="32" t="n"/>
      <c r="O11" s="32" t="n"/>
      <c r="P11" s="32" t="n"/>
      <c r="Q11" s="32" t="n"/>
      <c r="R11" s="32" t="n"/>
      <c r="S11" s="33" t="n"/>
      <c r="T11" s="34" t="n"/>
      <c r="U11" s="34" t="n"/>
      <c r="V11" s="34" t="n"/>
      <c r="W11" s="34" t="n"/>
      <c r="X11" s="34" t="n"/>
      <c r="Y11" s="34" t="n"/>
      <c r="Z11" s="34" t="n"/>
      <c r="AA11" s="35" t="n"/>
      <c r="AB11" s="36" t="n"/>
      <c r="AC11" s="36" t="n"/>
      <c r="AD11" s="37" t="n"/>
      <c r="AE11" s="36" t="n"/>
      <c r="AF11" s="38">
        <f>IF(A11="","",IF(AB11&lt;&gt;"","Closed",IF(X11&lt;&gt;"","With client",IF(L11&lt;&gt;"","Architect reviewed","Draft"))))</f>
        <v/>
      </c>
      <c r="AG11" s="39">
        <f>IF(A11="","",IF(AB11&lt;&gt;"","None",IF(X11&lt;&gt;"","Client",IF(L11&lt;&gt;"","Zero Trust Architect","Identity Architect"))))</f>
        <v/>
      </c>
      <c r="AH11" s="39">
        <f>IF(AB11="Accept and remediate","Remediation backlog (Jira story)",IF(AB11="Accept risk","Exception register (owner, expiry, compensating control)",IF(AB11="Defer","Status register (owner, risk, follow-on, target date)",IF(AB11="Reject","Record the rationale; close",""))))</f>
        <v/>
      </c>
      <c r="AI11" s="39" t="n"/>
    </row>
    <row r="12">
      <c r="A12" s="30" t="n"/>
      <c r="B12" s="30" t="n"/>
      <c r="C12" s="30" t="n"/>
      <c r="D12" s="30" t="n"/>
      <c r="E12" s="30" t="n"/>
      <c r="F12" s="30" t="n"/>
      <c r="G12" s="30" t="n"/>
      <c r="H12" s="30" t="n"/>
      <c r="I12" s="30" t="n"/>
      <c r="J12" s="30" t="n"/>
      <c r="K12" s="31" t="n"/>
      <c r="L12" s="32" t="n"/>
      <c r="M12" s="32" t="n"/>
      <c r="N12" s="32" t="n"/>
      <c r="O12" s="32" t="n"/>
      <c r="P12" s="32" t="n"/>
      <c r="Q12" s="32" t="n"/>
      <c r="R12" s="32" t="n"/>
      <c r="S12" s="33" t="n"/>
      <c r="T12" s="34" t="n"/>
      <c r="U12" s="34" t="n"/>
      <c r="V12" s="34" t="n"/>
      <c r="W12" s="34" t="n"/>
      <c r="X12" s="34" t="n"/>
      <c r="Y12" s="34" t="n"/>
      <c r="Z12" s="34" t="n"/>
      <c r="AA12" s="35" t="n"/>
      <c r="AB12" s="36" t="n"/>
      <c r="AC12" s="36" t="n"/>
      <c r="AD12" s="37" t="n"/>
      <c r="AE12" s="36" t="n"/>
      <c r="AF12" s="38">
        <f>IF(A12="","",IF(AB12&lt;&gt;"","Closed",IF(X12&lt;&gt;"","With client",IF(L12&lt;&gt;"","Architect reviewed","Draft"))))</f>
        <v/>
      </c>
      <c r="AG12" s="39">
        <f>IF(A12="","",IF(AB12&lt;&gt;"","None",IF(X12&lt;&gt;"","Client",IF(L12&lt;&gt;"","Zero Trust Architect","Identity Architect"))))</f>
        <v/>
      </c>
      <c r="AH12" s="39">
        <f>IF(AB12="Accept and remediate","Remediation backlog (Jira story)",IF(AB12="Accept risk","Exception register (owner, expiry, compensating control)",IF(AB12="Defer","Status register (owner, risk, follow-on, target date)",IF(AB12="Reject","Record the rationale; close",""))))</f>
        <v/>
      </c>
      <c r="AI12" s="39" t="n"/>
    </row>
    <row r="13">
      <c r="A13" s="30" t="n"/>
      <c r="B13" s="30" t="n"/>
      <c r="C13" s="30" t="n"/>
      <c r="D13" s="30" t="n"/>
      <c r="E13" s="30" t="n"/>
      <c r="F13" s="30" t="n"/>
      <c r="G13" s="30" t="n"/>
      <c r="H13" s="30" t="n"/>
      <c r="I13" s="30" t="n"/>
      <c r="J13" s="30" t="n"/>
      <c r="K13" s="31" t="n"/>
      <c r="L13" s="32" t="n"/>
      <c r="M13" s="32" t="n"/>
      <c r="N13" s="32" t="n"/>
      <c r="O13" s="32" t="n"/>
      <c r="P13" s="32" t="n"/>
      <c r="Q13" s="32" t="n"/>
      <c r="R13" s="32" t="n"/>
      <c r="S13" s="33" t="n"/>
      <c r="T13" s="34" t="n"/>
      <c r="U13" s="34" t="n"/>
      <c r="V13" s="34" t="n"/>
      <c r="W13" s="34" t="n"/>
      <c r="X13" s="34" t="n"/>
      <c r="Y13" s="34" t="n"/>
      <c r="Z13" s="34" t="n"/>
      <c r="AA13" s="35" t="n"/>
      <c r="AB13" s="36" t="n"/>
      <c r="AC13" s="36" t="n"/>
      <c r="AD13" s="37" t="n"/>
      <c r="AE13" s="36" t="n"/>
      <c r="AF13" s="38">
        <f>IF(A13="","",IF(AB13&lt;&gt;"","Closed",IF(X13&lt;&gt;"","With client",IF(L13&lt;&gt;"","Architect reviewed","Draft"))))</f>
        <v/>
      </c>
      <c r="AG13" s="39">
        <f>IF(A13="","",IF(AB13&lt;&gt;"","None",IF(X13&lt;&gt;"","Client",IF(L13&lt;&gt;"","Zero Trust Architect","Identity Architect"))))</f>
        <v/>
      </c>
      <c r="AH13" s="39">
        <f>IF(AB13="Accept and remediate","Remediation backlog (Jira story)",IF(AB13="Accept risk","Exception register (owner, expiry, compensating control)",IF(AB13="Defer","Status register (owner, risk, follow-on, target date)",IF(AB13="Reject","Record the rationale; close",""))))</f>
        <v/>
      </c>
      <c r="AI13" s="39" t="n"/>
    </row>
    <row r="14">
      <c r="A14" s="30" t="n"/>
      <c r="B14" s="30" t="n"/>
      <c r="C14" s="30" t="n"/>
      <c r="D14" s="30" t="n"/>
      <c r="E14" s="30" t="n"/>
      <c r="F14" s="30" t="n"/>
      <c r="G14" s="30" t="n"/>
      <c r="H14" s="30" t="n"/>
      <c r="I14" s="30" t="n"/>
      <c r="J14" s="30" t="n"/>
      <c r="K14" s="31" t="n"/>
      <c r="L14" s="32" t="n"/>
      <c r="M14" s="32" t="n"/>
      <c r="N14" s="32" t="n"/>
      <c r="O14" s="32" t="n"/>
      <c r="P14" s="32" t="n"/>
      <c r="Q14" s="32" t="n"/>
      <c r="R14" s="32" t="n"/>
      <c r="S14" s="33" t="n"/>
      <c r="T14" s="34" t="n"/>
      <c r="U14" s="34" t="n"/>
      <c r="V14" s="34" t="n"/>
      <c r="W14" s="34" t="n"/>
      <c r="X14" s="34" t="n"/>
      <c r="Y14" s="34" t="n"/>
      <c r="Z14" s="34" t="n"/>
      <c r="AA14" s="35" t="n"/>
      <c r="AB14" s="36" t="n"/>
      <c r="AC14" s="36" t="n"/>
      <c r="AD14" s="37" t="n"/>
      <c r="AE14" s="36" t="n"/>
      <c r="AF14" s="38">
        <f>IF(A14="","",IF(AB14&lt;&gt;"","Closed",IF(X14&lt;&gt;"","With client",IF(L14&lt;&gt;"","Architect reviewed","Draft"))))</f>
        <v/>
      </c>
      <c r="AG14" s="39">
        <f>IF(A14="","",IF(AB14&lt;&gt;"","None",IF(X14&lt;&gt;"","Client",IF(L14&lt;&gt;"","Zero Trust Architect","Identity Architect"))))</f>
        <v/>
      </c>
      <c r="AH14" s="39">
        <f>IF(AB14="Accept and remediate","Remediation backlog (Jira story)",IF(AB14="Accept risk","Exception register (owner, expiry, compensating control)",IF(AB14="Defer","Status register (owner, risk, follow-on, target date)",IF(AB14="Reject","Record the rationale; close",""))))</f>
        <v/>
      </c>
      <c r="AI14" s="39" t="n"/>
    </row>
    <row r="15">
      <c r="A15" s="30" t="n"/>
      <c r="B15" s="30" t="n"/>
      <c r="C15" s="30" t="n"/>
      <c r="D15" s="30" t="n"/>
      <c r="E15" s="30" t="n"/>
      <c r="F15" s="30" t="n"/>
      <c r="G15" s="30" t="n"/>
      <c r="H15" s="30" t="n"/>
      <c r="I15" s="30" t="n"/>
      <c r="J15" s="30" t="n"/>
      <c r="K15" s="31" t="n"/>
      <c r="L15" s="32" t="n"/>
      <c r="M15" s="32" t="n"/>
      <c r="N15" s="32" t="n"/>
      <c r="O15" s="32" t="n"/>
      <c r="P15" s="32" t="n"/>
      <c r="Q15" s="32" t="n"/>
      <c r="R15" s="32" t="n"/>
      <c r="S15" s="33" t="n"/>
      <c r="T15" s="34" t="n"/>
      <c r="U15" s="34" t="n"/>
      <c r="V15" s="34" t="n"/>
      <c r="W15" s="34" t="n"/>
      <c r="X15" s="34" t="n"/>
      <c r="Y15" s="34" t="n"/>
      <c r="Z15" s="34" t="n"/>
      <c r="AA15" s="35" t="n"/>
      <c r="AB15" s="36" t="n"/>
      <c r="AC15" s="36" t="n"/>
      <c r="AD15" s="37" t="n"/>
      <c r="AE15" s="36" t="n"/>
      <c r="AF15" s="38">
        <f>IF(A15="","",IF(AB15&lt;&gt;"","Closed",IF(X15&lt;&gt;"","With client",IF(L15&lt;&gt;"","Architect reviewed","Draft"))))</f>
        <v/>
      </c>
      <c r="AG15" s="39">
        <f>IF(A15="","",IF(AB15&lt;&gt;"","None",IF(X15&lt;&gt;"","Client",IF(L15&lt;&gt;"","Zero Trust Architect","Identity Architect"))))</f>
        <v/>
      </c>
      <c r="AH15" s="39">
        <f>IF(AB15="Accept and remediate","Remediation backlog (Jira story)",IF(AB15="Accept risk","Exception register (owner, expiry, compensating control)",IF(AB15="Defer","Status register (owner, risk, follow-on, target date)",IF(AB15="Reject","Record the rationale; close",""))))</f>
        <v/>
      </c>
      <c r="AI15" s="39" t="n"/>
    </row>
    <row r="16">
      <c r="A16" s="30" t="n"/>
      <c r="B16" s="30" t="n"/>
      <c r="C16" s="30" t="n"/>
      <c r="D16" s="30" t="n"/>
      <c r="E16" s="30" t="n"/>
      <c r="F16" s="30" t="n"/>
      <c r="G16" s="30" t="n"/>
      <c r="H16" s="30" t="n"/>
      <c r="I16" s="30" t="n"/>
      <c r="J16" s="30" t="n"/>
      <c r="K16" s="31" t="n"/>
      <c r="L16" s="32" t="n"/>
      <c r="M16" s="32" t="n"/>
      <c r="N16" s="32" t="n"/>
      <c r="O16" s="32" t="n"/>
      <c r="P16" s="32" t="n"/>
      <c r="Q16" s="32" t="n"/>
      <c r="R16" s="32" t="n"/>
      <c r="S16" s="33" t="n"/>
      <c r="T16" s="34" t="n"/>
      <c r="U16" s="34" t="n"/>
      <c r="V16" s="34" t="n"/>
      <c r="W16" s="34" t="n"/>
      <c r="X16" s="34" t="n"/>
      <c r="Y16" s="34" t="n"/>
      <c r="Z16" s="34" t="n"/>
      <c r="AA16" s="35" t="n"/>
      <c r="AB16" s="36" t="n"/>
      <c r="AC16" s="36" t="n"/>
      <c r="AD16" s="37" t="n"/>
      <c r="AE16" s="36" t="n"/>
      <c r="AF16" s="38">
        <f>IF(A16="","",IF(AB16&lt;&gt;"","Closed",IF(X16&lt;&gt;"","With client",IF(L16&lt;&gt;"","Architect reviewed","Draft"))))</f>
        <v/>
      </c>
      <c r="AG16" s="39">
        <f>IF(A16="","",IF(AB16&lt;&gt;"","None",IF(X16&lt;&gt;"","Client",IF(L16&lt;&gt;"","Zero Trust Architect","Identity Architect"))))</f>
        <v/>
      </c>
      <c r="AH16" s="39">
        <f>IF(AB16="Accept and remediate","Remediation backlog (Jira story)",IF(AB16="Accept risk","Exception register (owner, expiry, compensating control)",IF(AB16="Defer","Status register (owner, risk, follow-on, target date)",IF(AB16="Reject","Record the rationale; close",""))))</f>
        <v/>
      </c>
      <c r="AI16" s="39" t="n"/>
    </row>
    <row r="17">
      <c r="A17" s="30" t="n"/>
      <c r="B17" s="30" t="n"/>
      <c r="C17" s="30" t="n"/>
      <c r="D17" s="30" t="n"/>
      <c r="E17" s="30" t="n"/>
      <c r="F17" s="30" t="n"/>
      <c r="G17" s="30" t="n"/>
      <c r="H17" s="30" t="n"/>
      <c r="I17" s="30" t="n"/>
      <c r="J17" s="30" t="n"/>
      <c r="K17" s="31" t="n"/>
      <c r="L17" s="32" t="n"/>
      <c r="M17" s="32" t="n"/>
      <c r="N17" s="32" t="n"/>
      <c r="O17" s="32" t="n"/>
      <c r="P17" s="32" t="n"/>
      <c r="Q17" s="32" t="n"/>
      <c r="R17" s="32" t="n"/>
      <c r="S17" s="33" t="n"/>
      <c r="T17" s="34" t="n"/>
      <c r="U17" s="34" t="n"/>
      <c r="V17" s="34" t="n"/>
      <c r="W17" s="34" t="n"/>
      <c r="X17" s="34" t="n"/>
      <c r="Y17" s="34" t="n"/>
      <c r="Z17" s="34" t="n"/>
      <c r="AA17" s="35" t="n"/>
      <c r="AB17" s="36" t="n"/>
      <c r="AC17" s="36" t="n"/>
      <c r="AD17" s="37" t="n"/>
      <c r="AE17" s="36" t="n"/>
      <c r="AF17" s="38">
        <f>IF(A17="","",IF(AB17&lt;&gt;"","Closed",IF(X17&lt;&gt;"","With client",IF(L17&lt;&gt;"","Architect reviewed","Draft"))))</f>
        <v/>
      </c>
      <c r="AG17" s="39">
        <f>IF(A17="","",IF(AB17&lt;&gt;"","None",IF(X17&lt;&gt;"","Client",IF(L17&lt;&gt;"","Zero Trust Architect","Identity Architect"))))</f>
        <v/>
      </c>
      <c r="AH17" s="39">
        <f>IF(AB17="Accept and remediate","Remediation backlog (Jira story)",IF(AB17="Accept risk","Exception register (owner, expiry, compensating control)",IF(AB17="Defer","Status register (owner, risk, follow-on, target date)",IF(AB17="Reject","Record the rationale; close",""))))</f>
        <v/>
      </c>
      <c r="AI17" s="39" t="n"/>
    </row>
    <row r="18">
      <c r="A18" s="30" t="n"/>
      <c r="B18" s="30" t="n"/>
      <c r="C18" s="30" t="n"/>
      <c r="D18" s="30" t="n"/>
      <c r="E18" s="30" t="n"/>
      <c r="F18" s="30" t="n"/>
      <c r="G18" s="30" t="n"/>
      <c r="H18" s="30" t="n"/>
      <c r="I18" s="30" t="n"/>
      <c r="J18" s="30" t="n"/>
      <c r="K18" s="31" t="n"/>
      <c r="L18" s="32" t="n"/>
      <c r="M18" s="32" t="n"/>
      <c r="N18" s="32" t="n"/>
      <c r="O18" s="32" t="n"/>
      <c r="P18" s="32" t="n"/>
      <c r="Q18" s="32" t="n"/>
      <c r="R18" s="32" t="n"/>
      <c r="S18" s="33" t="n"/>
      <c r="T18" s="34" t="n"/>
      <c r="U18" s="34" t="n"/>
      <c r="V18" s="34" t="n"/>
      <c r="W18" s="34" t="n"/>
      <c r="X18" s="34" t="n"/>
      <c r="Y18" s="34" t="n"/>
      <c r="Z18" s="34" t="n"/>
      <c r="AA18" s="35" t="n"/>
      <c r="AB18" s="36" t="n"/>
      <c r="AC18" s="36" t="n"/>
      <c r="AD18" s="37" t="n"/>
      <c r="AE18" s="36" t="n"/>
      <c r="AF18" s="38">
        <f>IF(A18="","",IF(AB18&lt;&gt;"","Closed",IF(X18&lt;&gt;"","With client",IF(L18&lt;&gt;"","Architect reviewed","Draft"))))</f>
        <v/>
      </c>
      <c r="AG18" s="39">
        <f>IF(A18="","",IF(AB18&lt;&gt;"","None",IF(X18&lt;&gt;"","Client",IF(L18&lt;&gt;"","Zero Trust Architect","Identity Architect"))))</f>
        <v/>
      </c>
      <c r="AH18" s="39">
        <f>IF(AB18="Accept and remediate","Remediation backlog (Jira story)",IF(AB18="Accept risk","Exception register (owner, expiry, compensating control)",IF(AB18="Defer","Status register (owner, risk, follow-on, target date)",IF(AB18="Reject","Record the rationale; close",""))))</f>
        <v/>
      </c>
      <c r="AI18" s="39" t="n"/>
    </row>
    <row r="19">
      <c r="A19" s="30" t="n"/>
      <c r="B19" s="30" t="n"/>
      <c r="C19" s="30" t="n"/>
      <c r="D19" s="30" t="n"/>
      <c r="E19" s="30" t="n"/>
      <c r="F19" s="30" t="n"/>
      <c r="G19" s="30" t="n"/>
      <c r="H19" s="30" t="n"/>
      <c r="I19" s="30" t="n"/>
      <c r="J19" s="30" t="n"/>
      <c r="K19" s="31" t="n"/>
      <c r="L19" s="32" t="n"/>
      <c r="M19" s="32" t="n"/>
      <c r="N19" s="32" t="n"/>
      <c r="O19" s="32" t="n"/>
      <c r="P19" s="32" t="n"/>
      <c r="Q19" s="32" t="n"/>
      <c r="R19" s="32" t="n"/>
      <c r="S19" s="33" t="n"/>
      <c r="T19" s="34" t="n"/>
      <c r="U19" s="34" t="n"/>
      <c r="V19" s="34" t="n"/>
      <c r="W19" s="34" t="n"/>
      <c r="X19" s="34" t="n"/>
      <c r="Y19" s="34" t="n"/>
      <c r="Z19" s="34" t="n"/>
      <c r="AA19" s="35" t="n"/>
      <c r="AB19" s="36" t="n"/>
      <c r="AC19" s="36" t="n"/>
      <c r="AD19" s="37" t="n"/>
      <c r="AE19" s="36" t="n"/>
      <c r="AF19" s="38">
        <f>IF(A19="","",IF(AB19&lt;&gt;"","Closed",IF(X19&lt;&gt;"","With client",IF(L19&lt;&gt;"","Architect reviewed","Draft"))))</f>
        <v/>
      </c>
      <c r="AG19" s="39">
        <f>IF(A19="","",IF(AB19&lt;&gt;"","None",IF(X19&lt;&gt;"","Client",IF(L19&lt;&gt;"","Zero Trust Architect","Identity Architect"))))</f>
        <v/>
      </c>
      <c r="AH19" s="39">
        <f>IF(AB19="Accept and remediate","Remediation backlog (Jira story)",IF(AB19="Accept risk","Exception register (owner, expiry, compensating control)",IF(AB19="Defer","Status register (owner, risk, follow-on, target date)",IF(AB19="Reject","Record the rationale; close",""))))</f>
        <v/>
      </c>
      <c r="AI19" s="39" t="n"/>
    </row>
    <row r="20">
      <c r="A20" s="30" t="n"/>
      <c r="B20" s="30" t="n"/>
      <c r="C20" s="30" t="n"/>
      <c r="D20" s="30" t="n"/>
      <c r="E20" s="30" t="n"/>
      <c r="F20" s="30" t="n"/>
      <c r="G20" s="30" t="n"/>
      <c r="H20" s="30" t="n"/>
      <c r="I20" s="30" t="n"/>
      <c r="J20" s="30" t="n"/>
      <c r="K20" s="31" t="n"/>
      <c r="L20" s="32" t="n"/>
      <c r="M20" s="32" t="n"/>
      <c r="N20" s="32" t="n"/>
      <c r="O20" s="32" t="n"/>
      <c r="P20" s="32" t="n"/>
      <c r="Q20" s="32" t="n"/>
      <c r="R20" s="32" t="n"/>
      <c r="S20" s="33" t="n"/>
      <c r="T20" s="34" t="n"/>
      <c r="U20" s="34" t="n"/>
      <c r="V20" s="34" t="n"/>
      <c r="W20" s="34" t="n"/>
      <c r="X20" s="34" t="n"/>
      <c r="Y20" s="34" t="n"/>
      <c r="Z20" s="34" t="n"/>
      <c r="AA20" s="35" t="n"/>
      <c r="AB20" s="36" t="n"/>
      <c r="AC20" s="36" t="n"/>
      <c r="AD20" s="37" t="n"/>
      <c r="AE20" s="36" t="n"/>
      <c r="AF20" s="38">
        <f>IF(A20="","",IF(AB20&lt;&gt;"","Closed",IF(X20&lt;&gt;"","With client",IF(L20&lt;&gt;"","Architect reviewed","Draft"))))</f>
        <v/>
      </c>
      <c r="AG20" s="39">
        <f>IF(A20="","",IF(AB20&lt;&gt;"","None",IF(X20&lt;&gt;"","Client",IF(L20&lt;&gt;"","Zero Trust Architect","Identity Architect"))))</f>
        <v/>
      </c>
      <c r="AH20" s="39">
        <f>IF(AB20="Accept and remediate","Remediation backlog (Jira story)",IF(AB20="Accept risk","Exception register (owner, expiry, compensating control)",IF(AB20="Defer","Status register (owner, risk, follow-on, target date)",IF(AB20="Reject","Record the rationale; close",""))))</f>
        <v/>
      </c>
      <c r="AI20" s="39" t="n"/>
    </row>
    <row r="21">
      <c r="A21" s="30" t="n"/>
      <c r="B21" s="30" t="n"/>
      <c r="C21" s="30" t="n"/>
      <c r="D21" s="30" t="n"/>
      <c r="E21" s="30" t="n"/>
      <c r="F21" s="30" t="n"/>
      <c r="G21" s="30" t="n"/>
      <c r="H21" s="30" t="n"/>
      <c r="I21" s="30" t="n"/>
      <c r="J21" s="30" t="n"/>
      <c r="K21" s="31" t="n"/>
      <c r="L21" s="32" t="n"/>
      <c r="M21" s="32" t="n"/>
      <c r="N21" s="32" t="n"/>
      <c r="O21" s="32" t="n"/>
      <c r="P21" s="32" t="n"/>
      <c r="Q21" s="32" t="n"/>
      <c r="R21" s="32" t="n"/>
      <c r="S21" s="33" t="n"/>
      <c r="T21" s="34" t="n"/>
      <c r="U21" s="34" t="n"/>
      <c r="V21" s="34" t="n"/>
      <c r="W21" s="34" t="n"/>
      <c r="X21" s="34" t="n"/>
      <c r="Y21" s="34" t="n"/>
      <c r="Z21" s="34" t="n"/>
      <c r="AA21" s="35" t="n"/>
      <c r="AB21" s="36" t="n"/>
      <c r="AC21" s="36" t="n"/>
      <c r="AD21" s="37" t="n"/>
      <c r="AE21" s="36" t="n"/>
      <c r="AF21" s="38">
        <f>IF(A21="","",IF(AB21&lt;&gt;"","Closed",IF(X21&lt;&gt;"","With client",IF(L21&lt;&gt;"","Architect reviewed","Draft"))))</f>
        <v/>
      </c>
      <c r="AG21" s="39">
        <f>IF(A21="","",IF(AB21&lt;&gt;"","None",IF(X21&lt;&gt;"","Client",IF(L21&lt;&gt;"","Zero Trust Architect","Identity Architect"))))</f>
        <v/>
      </c>
      <c r="AH21" s="39">
        <f>IF(AB21="Accept and remediate","Remediation backlog (Jira story)",IF(AB21="Accept risk","Exception register (owner, expiry, compensating control)",IF(AB21="Defer","Status register (owner, risk, follow-on, target date)",IF(AB21="Reject","Record the rationale; close",""))))</f>
        <v/>
      </c>
      <c r="AI21" s="39" t="n"/>
    </row>
    <row r="22">
      <c r="A22" s="30" t="n"/>
      <c r="B22" s="30" t="n"/>
      <c r="C22" s="30" t="n"/>
      <c r="D22" s="30" t="n"/>
      <c r="E22" s="30" t="n"/>
      <c r="F22" s="30" t="n"/>
      <c r="G22" s="30" t="n"/>
      <c r="H22" s="30" t="n"/>
      <c r="I22" s="30" t="n"/>
      <c r="J22" s="30" t="n"/>
      <c r="K22" s="31" t="n"/>
      <c r="L22" s="32" t="n"/>
      <c r="M22" s="32" t="n"/>
      <c r="N22" s="32" t="n"/>
      <c r="O22" s="32" t="n"/>
      <c r="P22" s="32" t="n"/>
      <c r="Q22" s="32" t="n"/>
      <c r="R22" s="32" t="n"/>
      <c r="S22" s="33" t="n"/>
      <c r="T22" s="34" t="n"/>
      <c r="U22" s="34" t="n"/>
      <c r="V22" s="34" t="n"/>
      <c r="W22" s="34" t="n"/>
      <c r="X22" s="34" t="n"/>
      <c r="Y22" s="34" t="n"/>
      <c r="Z22" s="34" t="n"/>
      <c r="AA22" s="35" t="n"/>
      <c r="AB22" s="36" t="n"/>
      <c r="AC22" s="36" t="n"/>
      <c r="AD22" s="37" t="n"/>
      <c r="AE22" s="36" t="n"/>
      <c r="AF22" s="38">
        <f>IF(A22="","",IF(AB22&lt;&gt;"","Closed",IF(X22&lt;&gt;"","With client",IF(L22&lt;&gt;"","Architect reviewed","Draft"))))</f>
        <v/>
      </c>
      <c r="AG22" s="39">
        <f>IF(A22="","",IF(AB22&lt;&gt;"","None",IF(X22&lt;&gt;"","Client",IF(L22&lt;&gt;"","Zero Trust Architect","Identity Architect"))))</f>
        <v/>
      </c>
      <c r="AH22" s="39">
        <f>IF(AB22="Accept and remediate","Remediation backlog (Jira story)",IF(AB22="Accept risk","Exception register (owner, expiry, compensating control)",IF(AB22="Defer","Status register (owner, risk, follow-on, target date)",IF(AB22="Reject","Record the rationale; close",""))))</f>
        <v/>
      </c>
      <c r="AI22" s="39" t="n"/>
    </row>
    <row r="23">
      <c r="A23" s="30" t="n"/>
      <c r="B23" s="30" t="n"/>
      <c r="C23" s="30" t="n"/>
      <c r="D23" s="30" t="n"/>
      <c r="E23" s="30" t="n"/>
      <c r="F23" s="30" t="n"/>
      <c r="G23" s="30" t="n"/>
      <c r="H23" s="30" t="n"/>
      <c r="I23" s="30" t="n"/>
      <c r="J23" s="30" t="n"/>
      <c r="K23" s="31" t="n"/>
      <c r="L23" s="32" t="n"/>
      <c r="M23" s="32" t="n"/>
      <c r="N23" s="32" t="n"/>
      <c r="O23" s="32" t="n"/>
      <c r="P23" s="32" t="n"/>
      <c r="Q23" s="32" t="n"/>
      <c r="R23" s="32" t="n"/>
      <c r="S23" s="33" t="n"/>
      <c r="T23" s="34" t="n"/>
      <c r="U23" s="34" t="n"/>
      <c r="V23" s="34" t="n"/>
      <c r="W23" s="34" t="n"/>
      <c r="X23" s="34" t="n"/>
      <c r="Y23" s="34" t="n"/>
      <c r="Z23" s="34" t="n"/>
      <c r="AA23" s="35" t="n"/>
      <c r="AB23" s="36" t="n"/>
      <c r="AC23" s="36" t="n"/>
      <c r="AD23" s="37" t="n"/>
      <c r="AE23" s="36" t="n"/>
      <c r="AF23" s="38">
        <f>IF(A23="","",IF(AB23&lt;&gt;"","Closed",IF(X23&lt;&gt;"","With client",IF(L23&lt;&gt;"","Architect reviewed","Draft"))))</f>
        <v/>
      </c>
      <c r="AG23" s="39">
        <f>IF(A23="","",IF(AB23&lt;&gt;"","None",IF(X23&lt;&gt;"","Client",IF(L23&lt;&gt;"","Zero Trust Architect","Identity Architect"))))</f>
        <v/>
      </c>
      <c r="AH23" s="39">
        <f>IF(AB23="Accept and remediate","Remediation backlog (Jira story)",IF(AB23="Accept risk","Exception register (owner, expiry, compensating control)",IF(AB23="Defer","Status register (owner, risk, follow-on, target date)",IF(AB23="Reject","Record the rationale; close",""))))</f>
        <v/>
      </c>
      <c r="AI23" s="39" t="n"/>
    </row>
    <row r="24">
      <c r="A24" s="30" t="n"/>
      <c r="B24" s="30" t="n"/>
      <c r="C24" s="30" t="n"/>
      <c r="D24" s="30" t="n"/>
      <c r="E24" s="30" t="n"/>
      <c r="F24" s="30" t="n"/>
      <c r="G24" s="30" t="n"/>
      <c r="H24" s="30" t="n"/>
      <c r="I24" s="30" t="n"/>
      <c r="J24" s="30" t="n"/>
      <c r="K24" s="31" t="n"/>
      <c r="L24" s="32" t="n"/>
      <c r="M24" s="32" t="n"/>
      <c r="N24" s="32" t="n"/>
      <c r="O24" s="32" t="n"/>
      <c r="P24" s="32" t="n"/>
      <c r="Q24" s="32" t="n"/>
      <c r="R24" s="32" t="n"/>
      <c r="S24" s="33" t="n"/>
      <c r="T24" s="34" t="n"/>
      <c r="U24" s="34" t="n"/>
      <c r="V24" s="34" t="n"/>
      <c r="W24" s="34" t="n"/>
      <c r="X24" s="34" t="n"/>
      <c r="Y24" s="34" t="n"/>
      <c r="Z24" s="34" t="n"/>
      <c r="AA24" s="35" t="n"/>
      <c r="AB24" s="36" t="n"/>
      <c r="AC24" s="36" t="n"/>
      <c r="AD24" s="37" t="n"/>
      <c r="AE24" s="36" t="n"/>
      <c r="AF24" s="38">
        <f>IF(A24="","",IF(AB24&lt;&gt;"","Closed",IF(X24&lt;&gt;"","With client",IF(L24&lt;&gt;"","Architect reviewed","Draft"))))</f>
        <v/>
      </c>
      <c r="AG24" s="39">
        <f>IF(A24="","",IF(AB24&lt;&gt;"","None",IF(X24&lt;&gt;"","Client",IF(L24&lt;&gt;"","Zero Trust Architect","Identity Architect"))))</f>
        <v/>
      </c>
      <c r="AH24" s="39">
        <f>IF(AB24="Accept and remediate","Remediation backlog (Jira story)",IF(AB24="Accept risk","Exception register (owner, expiry, compensating control)",IF(AB24="Defer","Status register (owner, risk, follow-on, target date)",IF(AB24="Reject","Record the rationale; close",""))))</f>
        <v/>
      </c>
      <c r="AI24" s="39" t="n"/>
    </row>
    <row r="25">
      <c r="A25" s="30" t="n"/>
      <c r="B25" s="30" t="n"/>
      <c r="C25" s="30" t="n"/>
      <c r="D25" s="30" t="n"/>
      <c r="E25" s="30" t="n"/>
      <c r="F25" s="30" t="n"/>
      <c r="G25" s="30" t="n"/>
      <c r="H25" s="30" t="n"/>
      <c r="I25" s="30" t="n"/>
      <c r="J25" s="30" t="n"/>
      <c r="K25" s="31" t="n"/>
      <c r="L25" s="32" t="n"/>
      <c r="M25" s="32" t="n"/>
      <c r="N25" s="32" t="n"/>
      <c r="O25" s="32" t="n"/>
      <c r="P25" s="32" t="n"/>
      <c r="Q25" s="32" t="n"/>
      <c r="R25" s="32" t="n"/>
      <c r="S25" s="33" t="n"/>
      <c r="T25" s="34" t="n"/>
      <c r="U25" s="34" t="n"/>
      <c r="V25" s="34" t="n"/>
      <c r="W25" s="34" t="n"/>
      <c r="X25" s="34" t="n"/>
      <c r="Y25" s="34" t="n"/>
      <c r="Z25" s="34" t="n"/>
      <c r="AA25" s="35" t="n"/>
      <c r="AB25" s="36" t="n"/>
      <c r="AC25" s="36" t="n"/>
      <c r="AD25" s="37" t="n"/>
      <c r="AE25" s="36" t="n"/>
      <c r="AF25" s="38">
        <f>IF(A25="","",IF(AB25&lt;&gt;"","Closed",IF(X25&lt;&gt;"","With client",IF(L25&lt;&gt;"","Architect reviewed","Draft"))))</f>
        <v/>
      </c>
      <c r="AG25" s="39">
        <f>IF(A25="","",IF(AB25&lt;&gt;"","None",IF(X25&lt;&gt;"","Client",IF(L25&lt;&gt;"","Zero Trust Architect","Identity Architect"))))</f>
        <v/>
      </c>
      <c r="AH25" s="39">
        <f>IF(AB25="Accept and remediate","Remediation backlog (Jira story)",IF(AB25="Accept risk","Exception register (owner, expiry, compensating control)",IF(AB25="Defer","Status register (owner, risk, follow-on, target date)",IF(AB25="Reject","Record the rationale; close",""))))</f>
        <v/>
      </c>
      <c r="AI25" s="39" t="n"/>
    </row>
    <row r="26">
      <c r="A26" s="30" t="n"/>
      <c r="B26" s="30" t="n"/>
      <c r="C26" s="30" t="n"/>
      <c r="D26" s="30" t="n"/>
      <c r="E26" s="30" t="n"/>
      <c r="F26" s="30" t="n"/>
      <c r="G26" s="30" t="n"/>
      <c r="H26" s="30" t="n"/>
      <c r="I26" s="30" t="n"/>
      <c r="J26" s="30" t="n"/>
      <c r="K26" s="31" t="n"/>
      <c r="L26" s="32" t="n"/>
      <c r="M26" s="32" t="n"/>
      <c r="N26" s="32" t="n"/>
      <c r="O26" s="32" t="n"/>
      <c r="P26" s="32" t="n"/>
      <c r="Q26" s="32" t="n"/>
      <c r="R26" s="32" t="n"/>
      <c r="S26" s="33" t="n"/>
      <c r="T26" s="34" t="n"/>
      <c r="U26" s="34" t="n"/>
      <c r="V26" s="34" t="n"/>
      <c r="W26" s="34" t="n"/>
      <c r="X26" s="34" t="n"/>
      <c r="Y26" s="34" t="n"/>
      <c r="Z26" s="34" t="n"/>
      <c r="AA26" s="35" t="n"/>
      <c r="AB26" s="36" t="n"/>
      <c r="AC26" s="36" t="n"/>
      <c r="AD26" s="37" t="n"/>
      <c r="AE26" s="36" t="n"/>
      <c r="AF26" s="38">
        <f>IF(A26="","",IF(AB26&lt;&gt;"","Closed",IF(X26&lt;&gt;"","With client",IF(L26&lt;&gt;"","Architect reviewed","Draft"))))</f>
        <v/>
      </c>
      <c r="AG26" s="39">
        <f>IF(A26="","",IF(AB26&lt;&gt;"","None",IF(X26&lt;&gt;"","Client",IF(L26&lt;&gt;"","Zero Trust Architect","Identity Architect"))))</f>
        <v/>
      </c>
      <c r="AH26" s="39">
        <f>IF(AB26="Accept and remediate","Remediation backlog (Jira story)",IF(AB26="Accept risk","Exception register (owner, expiry, compensating control)",IF(AB26="Defer","Status register (owner, risk, follow-on, target date)",IF(AB26="Reject","Record the rationale; close",""))))</f>
        <v/>
      </c>
      <c r="AI26" s="39" t="n"/>
    </row>
    <row r="27">
      <c r="A27" s="30" t="n"/>
      <c r="B27" s="30" t="n"/>
      <c r="C27" s="30" t="n"/>
      <c r="D27" s="30" t="n"/>
      <c r="E27" s="30" t="n"/>
      <c r="F27" s="30" t="n"/>
      <c r="G27" s="30" t="n"/>
      <c r="H27" s="30" t="n"/>
      <c r="I27" s="30" t="n"/>
      <c r="J27" s="30" t="n"/>
      <c r="K27" s="31" t="n"/>
      <c r="L27" s="32" t="n"/>
      <c r="M27" s="32" t="n"/>
      <c r="N27" s="32" t="n"/>
      <c r="O27" s="32" t="n"/>
      <c r="P27" s="32" t="n"/>
      <c r="Q27" s="32" t="n"/>
      <c r="R27" s="32" t="n"/>
      <c r="S27" s="33" t="n"/>
      <c r="T27" s="34" t="n"/>
      <c r="U27" s="34" t="n"/>
      <c r="V27" s="34" t="n"/>
      <c r="W27" s="34" t="n"/>
      <c r="X27" s="34" t="n"/>
      <c r="Y27" s="34" t="n"/>
      <c r="Z27" s="34" t="n"/>
      <c r="AA27" s="35" t="n"/>
      <c r="AB27" s="36" t="n"/>
      <c r="AC27" s="36" t="n"/>
      <c r="AD27" s="37" t="n"/>
      <c r="AE27" s="36" t="n"/>
      <c r="AF27" s="38">
        <f>IF(A27="","",IF(AB27&lt;&gt;"","Closed",IF(X27&lt;&gt;"","With client",IF(L27&lt;&gt;"","Architect reviewed","Draft"))))</f>
        <v/>
      </c>
      <c r="AG27" s="39">
        <f>IF(A27="","",IF(AB27&lt;&gt;"","None",IF(X27&lt;&gt;"","Client",IF(L27&lt;&gt;"","Zero Trust Architect","Identity Architect"))))</f>
        <v/>
      </c>
      <c r="AH27" s="39">
        <f>IF(AB27="Accept and remediate","Remediation backlog (Jira story)",IF(AB27="Accept risk","Exception register (owner, expiry, compensating control)",IF(AB27="Defer","Status register (owner, risk, follow-on, target date)",IF(AB27="Reject","Record the rationale; close",""))))</f>
        <v/>
      </c>
      <c r="AI27" s="39" t="n"/>
    </row>
    <row r="28">
      <c r="A28" s="30" t="n"/>
      <c r="B28" s="30" t="n"/>
      <c r="C28" s="30" t="n"/>
      <c r="D28" s="30" t="n"/>
      <c r="E28" s="30" t="n"/>
      <c r="F28" s="30" t="n"/>
      <c r="G28" s="30" t="n"/>
      <c r="H28" s="30" t="n"/>
      <c r="I28" s="30" t="n"/>
      <c r="J28" s="30" t="n"/>
      <c r="K28" s="31" t="n"/>
      <c r="L28" s="32" t="n"/>
      <c r="M28" s="32" t="n"/>
      <c r="N28" s="32" t="n"/>
      <c r="O28" s="32" t="n"/>
      <c r="P28" s="32" t="n"/>
      <c r="Q28" s="32" t="n"/>
      <c r="R28" s="32" t="n"/>
      <c r="S28" s="33" t="n"/>
      <c r="T28" s="34" t="n"/>
      <c r="U28" s="34" t="n"/>
      <c r="V28" s="34" t="n"/>
      <c r="W28" s="34" t="n"/>
      <c r="X28" s="34" t="n"/>
      <c r="Y28" s="34" t="n"/>
      <c r="Z28" s="34" t="n"/>
      <c r="AA28" s="35" t="n"/>
      <c r="AB28" s="36" t="n"/>
      <c r="AC28" s="36" t="n"/>
      <c r="AD28" s="37" t="n"/>
      <c r="AE28" s="36" t="n"/>
      <c r="AF28" s="38">
        <f>IF(A28="","",IF(AB28&lt;&gt;"","Closed",IF(X28&lt;&gt;"","With client",IF(L28&lt;&gt;"","Architect reviewed","Draft"))))</f>
        <v/>
      </c>
      <c r="AG28" s="39">
        <f>IF(A28="","",IF(AB28&lt;&gt;"","None",IF(X28&lt;&gt;"","Client",IF(L28&lt;&gt;"","Zero Trust Architect","Identity Architect"))))</f>
        <v/>
      </c>
      <c r="AH28" s="39">
        <f>IF(AB28="Accept and remediate","Remediation backlog (Jira story)",IF(AB28="Accept risk","Exception register (owner, expiry, compensating control)",IF(AB28="Defer","Status register (owner, risk, follow-on, target date)",IF(AB28="Reject","Record the rationale; close",""))))</f>
        <v/>
      </c>
      <c r="AI28" s="39" t="n"/>
    </row>
    <row r="29">
      <c r="A29" s="30" t="n"/>
      <c r="B29" s="30" t="n"/>
      <c r="C29" s="30" t="n"/>
      <c r="D29" s="30" t="n"/>
      <c r="E29" s="30" t="n"/>
      <c r="F29" s="30" t="n"/>
      <c r="G29" s="30" t="n"/>
      <c r="H29" s="30" t="n"/>
      <c r="I29" s="30" t="n"/>
      <c r="J29" s="30" t="n"/>
      <c r="K29" s="31" t="n"/>
      <c r="L29" s="32" t="n"/>
      <c r="M29" s="32" t="n"/>
      <c r="N29" s="32" t="n"/>
      <c r="O29" s="32" t="n"/>
      <c r="P29" s="32" t="n"/>
      <c r="Q29" s="32" t="n"/>
      <c r="R29" s="32" t="n"/>
      <c r="S29" s="33" t="n"/>
      <c r="T29" s="34" t="n"/>
      <c r="U29" s="34" t="n"/>
      <c r="V29" s="34" t="n"/>
      <c r="W29" s="34" t="n"/>
      <c r="X29" s="34" t="n"/>
      <c r="Y29" s="34" t="n"/>
      <c r="Z29" s="34" t="n"/>
      <c r="AA29" s="35" t="n"/>
      <c r="AB29" s="36" t="n"/>
      <c r="AC29" s="36" t="n"/>
      <c r="AD29" s="37" t="n"/>
      <c r="AE29" s="36" t="n"/>
      <c r="AF29" s="38">
        <f>IF(A29="","",IF(AB29&lt;&gt;"","Closed",IF(X29&lt;&gt;"","With client",IF(L29&lt;&gt;"","Architect reviewed","Draft"))))</f>
        <v/>
      </c>
      <c r="AG29" s="39">
        <f>IF(A29="","",IF(AB29&lt;&gt;"","None",IF(X29&lt;&gt;"","Client",IF(L29&lt;&gt;"","Zero Trust Architect","Identity Architect"))))</f>
        <v/>
      </c>
      <c r="AH29" s="39">
        <f>IF(AB29="Accept and remediate","Remediation backlog (Jira story)",IF(AB29="Accept risk","Exception register (owner, expiry, compensating control)",IF(AB29="Defer","Status register (owner, risk, follow-on, target date)",IF(AB29="Reject","Record the rationale; close",""))))</f>
        <v/>
      </c>
      <c r="AI29" s="39" t="n"/>
    </row>
    <row r="30">
      <c r="A30" s="30" t="n"/>
      <c r="B30" s="30" t="n"/>
      <c r="C30" s="30" t="n"/>
      <c r="D30" s="30" t="n"/>
      <c r="E30" s="30" t="n"/>
      <c r="F30" s="30" t="n"/>
      <c r="G30" s="30" t="n"/>
      <c r="H30" s="30" t="n"/>
      <c r="I30" s="30" t="n"/>
      <c r="J30" s="30" t="n"/>
      <c r="K30" s="31" t="n"/>
      <c r="L30" s="32" t="n"/>
      <c r="M30" s="32" t="n"/>
      <c r="N30" s="32" t="n"/>
      <c r="O30" s="32" t="n"/>
      <c r="P30" s="32" t="n"/>
      <c r="Q30" s="32" t="n"/>
      <c r="R30" s="32" t="n"/>
      <c r="S30" s="33" t="n"/>
      <c r="T30" s="34" t="n"/>
      <c r="U30" s="34" t="n"/>
      <c r="V30" s="34" t="n"/>
      <c r="W30" s="34" t="n"/>
      <c r="X30" s="34" t="n"/>
      <c r="Y30" s="34" t="n"/>
      <c r="Z30" s="34" t="n"/>
      <c r="AA30" s="35" t="n"/>
      <c r="AB30" s="36" t="n"/>
      <c r="AC30" s="36" t="n"/>
      <c r="AD30" s="37" t="n"/>
      <c r="AE30" s="36" t="n"/>
      <c r="AF30" s="38">
        <f>IF(A30="","",IF(AB30&lt;&gt;"","Closed",IF(X30&lt;&gt;"","With client",IF(L30&lt;&gt;"","Architect reviewed","Draft"))))</f>
        <v/>
      </c>
      <c r="AG30" s="39">
        <f>IF(A30="","",IF(AB30&lt;&gt;"","None",IF(X30&lt;&gt;"","Client",IF(L30&lt;&gt;"","Zero Trust Architect","Identity Architect"))))</f>
        <v/>
      </c>
      <c r="AH30" s="39">
        <f>IF(AB30="Accept and remediate","Remediation backlog (Jira story)",IF(AB30="Accept risk","Exception register (owner, expiry, compensating control)",IF(AB30="Defer","Status register (owner, risk, follow-on, target date)",IF(AB30="Reject","Record the rationale; close",""))))</f>
        <v/>
      </c>
      <c r="AI30" s="39" t="n"/>
    </row>
    <row r="31">
      <c r="A31" s="30" t="n"/>
      <c r="B31" s="30" t="n"/>
      <c r="C31" s="30" t="n"/>
      <c r="D31" s="30" t="n"/>
      <c r="E31" s="30" t="n"/>
      <c r="F31" s="30" t="n"/>
      <c r="G31" s="30" t="n"/>
      <c r="H31" s="30" t="n"/>
      <c r="I31" s="30" t="n"/>
      <c r="J31" s="30" t="n"/>
      <c r="K31" s="31" t="n"/>
      <c r="L31" s="32" t="n"/>
      <c r="M31" s="32" t="n"/>
      <c r="N31" s="32" t="n"/>
      <c r="O31" s="32" t="n"/>
      <c r="P31" s="32" t="n"/>
      <c r="Q31" s="32" t="n"/>
      <c r="R31" s="32" t="n"/>
      <c r="S31" s="33" t="n"/>
      <c r="T31" s="34" t="n"/>
      <c r="U31" s="34" t="n"/>
      <c r="V31" s="34" t="n"/>
      <c r="W31" s="34" t="n"/>
      <c r="X31" s="34" t="n"/>
      <c r="Y31" s="34" t="n"/>
      <c r="Z31" s="34" t="n"/>
      <c r="AA31" s="35" t="n"/>
      <c r="AB31" s="36" t="n"/>
      <c r="AC31" s="36" t="n"/>
      <c r="AD31" s="37" t="n"/>
      <c r="AE31" s="36" t="n"/>
      <c r="AF31" s="38">
        <f>IF(A31="","",IF(AB31&lt;&gt;"","Closed",IF(X31&lt;&gt;"","With client",IF(L31&lt;&gt;"","Architect reviewed","Draft"))))</f>
        <v/>
      </c>
      <c r="AG31" s="39">
        <f>IF(A31="","",IF(AB31&lt;&gt;"","None",IF(X31&lt;&gt;"","Client",IF(L31&lt;&gt;"","Zero Trust Architect","Identity Architect"))))</f>
        <v/>
      </c>
      <c r="AH31" s="39">
        <f>IF(AB31="Accept and remediate","Remediation backlog (Jira story)",IF(AB31="Accept risk","Exception register (owner, expiry, compensating control)",IF(AB31="Defer","Status register (owner, risk, follow-on, target date)",IF(AB31="Reject","Record the rationale; close",""))))</f>
        <v/>
      </c>
      <c r="AI31" s="39" t="n"/>
    </row>
    <row r="32">
      <c r="A32" s="30" t="n"/>
      <c r="B32" s="30" t="n"/>
      <c r="C32" s="30" t="n"/>
      <c r="D32" s="30" t="n"/>
      <c r="E32" s="30" t="n"/>
      <c r="F32" s="30" t="n"/>
      <c r="G32" s="30" t="n"/>
      <c r="H32" s="30" t="n"/>
      <c r="I32" s="30" t="n"/>
      <c r="J32" s="30" t="n"/>
      <c r="K32" s="31" t="n"/>
      <c r="L32" s="32" t="n"/>
      <c r="M32" s="32" t="n"/>
      <c r="N32" s="32" t="n"/>
      <c r="O32" s="32" t="n"/>
      <c r="P32" s="32" t="n"/>
      <c r="Q32" s="32" t="n"/>
      <c r="R32" s="32" t="n"/>
      <c r="S32" s="33" t="n"/>
      <c r="T32" s="34" t="n"/>
      <c r="U32" s="34" t="n"/>
      <c r="V32" s="34" t="n"/>
      <c r="W32" s="34" t="n"/>
      <c r="X32" s="34" t="n"/>
      <c r="Y32" s="34" t="n"/>
      <c r="Z32" s="34" t="n"/>
      <c r="AA32" s="35" t="n"/>
      <c r="AB32" s="36" t="n"/>
      <c r="AC32" s="36" t="n"/>
      <c r="AD32" s="37" t="n"/>
      <c r="AE32" s="36" t="n"/>
      <c r="AF32" s="38">
        <f>IF(A32="","",IF(AB32&lt;&gt;"","Closed",IF(X32&lt;&gt;"","With client",IF(L32&lt;&gt;"","Architect reviewed","Draft"))))</f>
        <v/>
      </c>
      <c r="AG32" s="39">
        <f>IF(A32="","",IF(AB32&lt;&gt;"","None",IF(X32&lt;&gt;"","Client",IF(L32&lt;&gt;"","Zero Trust Architect","Identity Architect"))))</f>
        <v/>
      </c>
      <c r="AH32" s="39">
        <f>IF(AB32="Accept and remediate","Remediation backlog (Jira story)",IF(AB32="Accept risk","Exception register (owner, expiry, compensating control)",IF(AB32="Defer","Status register (owner, risk, follow-on, target date)",IF(AB32="Reject","Record the rationale; close",""))))</f>
        <v/>
      </c>
      <c r="AI32" s="39" t="n"/>
    </row>
    <row r="33">
      <c r="A33" s="30" t="n"/>
      <c r="B33" s="30" t="n"/>
      <c r="C33" s="30" t="n"/>
      <c r="D33" s="30" t="n"/>
      <c r="E33" s="30" t="n"/>
      <c r="F33" s="30" t="n"/>
      <c r="G33" s="30" t="n"/>
      <c r="H33" s="30" t="n"/>
      <c r="I33" s="30" t="n"/>
      <c r="J33" s="30" t="n"/>
      <c r="K33" s="31" t="n"/>
      <c r="L33" s="32" t="n"/>
      <c r="M33" s="32" t="n"/>
      <c r="N33" s="32" t="n"/>
      <c r="O33" s="32" t="n"/>
      <c r="P33" s="32" t="n"/>
      <c r="Q33" s="32" t="n"/>
      <c r="R33" s="32" t="n"/>
      <c r="S33" s="33" t="n"/>
      <c r="T33" s="34" t="n"/>
      <c r="U33" s="34" t="n"/>
      <c r="V33" s="34" t="n"/>
      <c r="W33" s="34" t="n"/>
      <c r="X33" s="34" t="n"/>
      <c r="Y33" s="34" t="n"/>
      <c r="Z33" s="34" t="n"/>
      <c r="AA33" s="35" t="n"/>
      <c r="AB33" s="36" t="n"/>
      <c r="AC33" s="36" t="n"/>
      <c r="AD33" s="37" t="n"/>
      <c r="AE33" s="36" t="n"/>
      <c r="AF33" s="38">
        <f>IF(A33="","",IF(AB33&lt;&gt;"","Closed",IF(X33&lt;&gt;"","With client",IF(L33&lt;&gt;"","Architect reviewed","Draft"))))</f>
        <v/>
      </c>
      <c r="AG33" s="39">
        <f>IF(A33="","",IF(AB33&lt;&gt;"","None",IF(X33&lt;&gt;"","Client",IF(L33&lt;&gt;"","Zero Trust Architect","Identity Architect"))))</f>
        <v/>
      </c>
      <c r="AH33" s="39">
        <f>IF(AB33="Accept and remediate","Remediation backlog (Jira story)",IF(AB33="Accept risk","Exception register (owner, expiry, compensating control)",IF(AB33="Defer","Status register (owner, risk, follow-on, target date)",IF(AB33="Reject","Record the rationale; close",""))))</f>
        <v/>
      </c>
      <c r="AI33" s="39" t="n"/>
    </row>
    <row r="34">
      <c r="A34" s="30" t="n"/>
      <c r="B34" s="30" t="n"/>
      <c r="C34" s="30" t="n"/>
      <c r="D34" s="30" t="n"/>
      <c r="E34" s="30" t="n"/>
      <c r="F34" s="30" t="n"/>
      <c r="G34" s="30" t="n"/>
      <c r="H34" s="30" t="n"/>
      <c r="I34" s="30" t="n"/>
      <c r="J34" s="30" t="n"/>
      <c r="K34" s="31" t="n"/>
      <c r="L34" s="32" t="n"/>
      <c r="M34" s="32" t="n"/>
      <c r="N34" s="32" t="n"/>
      <c r="O34" s="32" t="n"/>
      <c r="P34" s="32" t="n"/>
      <c r="Q34" s="32" t="n"/>
      <c r="R34" s="32" t="n"/>
      <c r="S34" s="33" t="n"/>
      <c r="T34" s="34" t="n"/>
      <c r="U34" s="34" t="n"/>
      <c r="V34" s="34" t="n"/>
      <c r="W34" s="34" t="n"/>
      <c r="X34" s="34" t="n"/>
      <c r="Y34" s="34" t="n"/>
      <c r="Z34" s="34" t="n"/>
      <c r="AA34" s="35" t="n"/>
      <c r="AB34" s="36" t="n"/>
      <c r="AC34" s="36" t="n"/>
      <c r="AD34" s="37" t="n"/>
      <c r="AE34" s="36" t="n"/>
      <c r="AF34" s="38">
        <f>IF(A34="","",IF(AB34&lt;&gt;"","Closed",IF(X34&lt;&gt;"","With client",IF(L34&lt;&gt;"","Architect reviewed","Draft"))))</f>
        <v/>
      </c>
      <c r="AG34" s="39">
        <f>IF(A34="","",IF(AB34&lt;&gt;"","None",IF(X34&lt;&gt;"","Client",IF(L34&lt;&gt;"","Zero Trust Architect","Identity Architect"))))</f>
        <v/>
      </c>
      <c r="AH34" s="39">
        <f>IF(AB34="Accept and remediate","Remediation backlog (Jira story)",IF(AB34="Accept risk","Exception register (owner, expiry, compensating control)",IF(AB34="Defer","Status register (owner, risk, follow-on, target date)",IF(AB34="Reject","Record the rationale; close",""))))</f>
        <v/>
      </c>
      <c r="AI34" s="39" t="n"/>
    </row>
    <row r="35">
      <c r="A35" s="30" t="n"/>
      <c r="B35" s="30" t="n"/>
      <c r="C35" s="30" t="n"/>
      <c r="D35" s="30" t="n"/>
      <c r="E35" s="30" t="n"/>
      <c r="F35" s="30" t="n"/>
      <c r="G35" s="30" t="n"/>
      <c r="H35" s="30" t="n"/>
      <c r="I35" s="30" t="n"/>
      <c r="J35" s="30" t="n"/>
      <c r="K35" s="31" t="n"/>
      <c r="L35" s="32" t="n"/>
      <c r="M35" s="32" t="n"/>
      <c r="N35" s="32" t="n"/>
      <c r="O35" s="32" t="n"/>
      <c r="P35" s="32" t="n"/>
      <c r="Q35" s="32" t="n"/>
      <c r="R35" s="32" t="n"/>
      <c r="S35" s="33" t="n"/>
      <c r="T35" s="34" t="n"/>
      <c r="U35" s="34" t="n"/>
      <c r="V35" s="34" t="n"/>
      <c r="W35" s="34" t="n"/>
      <c r="X35" s="34" t="n"/>
      <c r="Y35" s="34" t="n"/>
      <c r="Z35" s="34" t="n"/>
      <c r="AA35" s="35" t="n"/>
      <c r="AB35" s="36" t="n"/>
      <c r="AC35" s="36" t="n"/>
      <c r="AD35" s="37" t="n"/>
      <c r="AE35" s="36" t="n"/>
      <c r="AF35" s="38">
        <f>IF(A35="","",IF(AB35&lt;&gt;"","Closed",IF(X35&lt;&gt;"","With client",IF(L35&lt;&gt;"","Architect reviewed","Draft"))))</f>
        <v/>
      </c>
      <c r="AG35" s="39">
        <f>IF(A35="","",IF(AB35&lt;&gt;"","None",IF(X35&lt;&gt;"","Client",IF(L35&lt;&gt;"","Zero Trust Architect","Identity Architect"))))</f>
        <v/>
      </c>
      <c r="AH35" s="39">
        <f>IF(AB35="Accept and remediate","Remediation backlog (Jira story)",IF(AB35="Accept risk","Exception register (owner, expiry, compensating control)",IF(AB35="Defer","Status register (owner, risk, follow-on, target date)",IF(AB35="Reject","Record the rationale; close",""))))</f>
        <v/>
      </c>
      <c r="AI35" s="39" t="n"/>
    </row>
    <row r="36">
      <c r="A36" s="30" t="n"/>
      <c r="B36" s="30" t="n"/>
      <c r="C36" s="30" t="n"/>
      <c r="D36" s="30" t="n"/>
      <c r="E36" s="30" t="n"/>
      <c r="F36" s="30" t="n"/>
      <c r="G36" s="30" t="n"/>
      <c r="H36" s="30" t="n"/>
      <c r="I36" s="30" t="n"/>
      <c r="J36" s="30" t="n"/>
      <c r="K36" s="31" t="n"/>
      <c r="L36" s="32" t="n"/>
      <c r="M36" s="32" t="n"/>
      <c r="N36" s="32" t="n"/>
      <c r="O36" s="32" t="n"/>
      <c r="P36" s="32" t="n"/>
      <c r="Q36" s="32" t="n"/>
      <c r="R36" s="32" t="n"/>
      <c r="S36" s="33" t="n"/>
      <c r="T36" s="34" t="n"/>
      <c r="U36" s="34" t="n"/>
      <c r="V36" s="34" t="n"/>
      <c r="W36" s="34" t="n"/>
      <c r="X36" s="34" t="n"/>
      <c r="Y36" s="34" t="n"/>
      <c r="Z36" s="34" t="n"/>
      <c r="AA36" s="35" t="n"/>
      <c r="AB36" s="36" t="n"/>
      <c r="AC36" s="36" t="n"/>
      <c r="AD36" s="37" t="n"/>
      <c r="AE36" s="36" t="n"/>
      <c r="AF36" s="38">
        <f>IF(A36="","",IF(AB36&lt;&gt;"","Closed",IF(X36&lt;&gt;"","With client",IF(L36&lt;&gt;"","Architect reviewed","Draft"))))</f>
        <v/>
      </c>
      <c r="AG36" s="39">
        <f>IF(A36="","",IF(AB36&lt;&gt;"","None",IF(X36&lt;&gt;"","Client",IF(L36&lt;&gt;"","Zero Trust Architect","Identity Architect"))))</f>
        <v/>
      </c>
      <c r="AH36" s="39">
        <f>IF(AB36="Accept and remediate","Remediation backlog (Jira story)",IF(AB36="Accept risk","Exception register (owner, expiry, compensating control)",IF(AB36="Defer","Status register (owner, risk, follow-on, target date)",IF(AB36="Reject","Record the rationale; close",""))))</f>
        <v/>
      </c>
      <c r="AI36" s="39" t="n"/>
    </row>
    <row r="37">
      <c r="A37" s="30" t="n"/>
      <c r="B37" s="30" t="n"/>
      <c r="C37" s="30" t="n"/>
      <c r="D37" s="30" t="n"/>
      <c r="E37" s="30" t="n"/>
      <c r="F37" s="30" t="n"/>
      <c r="G37" s="30" t="n"/>
      <c r="H37" s="30" t="n"/>
      <c r="I37" s="30" t="n"/>
      <c r="J37" s="30" t="n"/>
      <c r="K37" s="31" t="n"/>
      <c r="L37" s="32" t="n"/>
      <c r="M37" s="32" t="n"/>
      <c r="N37" s="32" t="n"/>
      <c r="O37" s="32" t="n"/>
      <c r="P37" s="32" t="n"/>
      <c r="Q37" s="32" t="n"/>
      <c r="R37" s="32" t="n"/>
      <c r="S37" s="33" t="n"/>
      <c r="T37" s="34" t="n"/>
      <c r="U37" s="34" t="n"/>
      <c r="V37" s="34" t="n"/>
      <c r="W37" s="34" t="n"/>
      <c r="X37" s="34" t="n"/>
      <c r="Y37" s="34" t="n"/>
      <c r="Z37" s="34" t="n"/>
      <c r="AA37" s="35" t="n"/>
      <c r="AB37" s="36" t="n"/>
      <c r="AC37" s="36" t="n"/>
      <c r="AD37" s="37" t="n"/>
      <c r="AE37" s="36" t="n"/>
      <c r="AF37" s="38">
        <f>IF(A37="","",IF(AB37&lt;&gt;"","Closed",IF(X37&lt;&gt;"","With client",IF(L37&lt;&gt;"","Architect reviewed","Draft"))))</f>
        <v/>
      </c>
      <c r="AG37" s="39">
        <f>IF(A37="","",IF(AB37&lt;&gt;"","None",IF(X37&lt;&gt;"","Client",IF(L37&lt;&gt;"","Zero Trust Architect","Identity Architect"))))</f>
        <v/>
      </c>
      <c r="AH37" s="39">
        <f>IF(AB37="Accept and remediate","Remediation backlog (Jira story)",IF(AB37="Accept risk","Exception register (owner, expiry, compensating control)",IF(AB37="Defer","Status register (owner, risk, follow-on, target date)",IF(AB37="Reject","Record the rationale; close",""))))</f>
        <v/>
      </c>
      <c r="AI37" s="39" t="n"/>
    </row>
    <row r="38">
      <c r="A38" s="30" t="n"/>
      <c r="B38" s="30" t="n"/>
      <c r="C38" s="30" t="n"/>
      <c r="D38" s="30" t="n"/>
      <c r="E38" s="30" t="n"/>
      <c r="F38" s="30" t="n"/>
      <c r="G38" s="30" t="n"/>
      <c r="H38" s="30" t="n"/>
      <c r="I38" s="30" t="n"/>
      <c r="J38" s="30" t="n"/>
      <c r="K38" s="31" t="n"/>
      <c r="L38" s="32" t="n"/>
      <c r="M38" s="32" t="n"/>
      <c r="N38" s="32" t="n"/>
      <c r="O38" s="32" t="n"/>
      <c r="P38" s="32" t="n"/>
      <c r="Q38" s="32" t="n"/>
      <c r="R38" s="32" t="n"/>
      <c r="S38" s="33" t="n"/>
      <c r="T38" s="34" t="n"/>
      <c r="U38" s="34" t="n"/>
      <c r="V38" s="34" t="n"/>
      <c r="W38" s="34" t="n"/>
      <c r="X38" s="34" t="n"/>
      <c r="Y38" s="34" t="n"/>
      <c r="Z38" s="34" t="n"/>
      <c r="AA38" s="35" t="n"/>
      <c r="AB38" s="36" t="n"/>
      <c r="AC38" s="36" t="n"/>
      <c r="AD38" s="37" t="n"/>
      <c r="AE38" s="36" t="n"/>
      <c r="AF38" s="38">
        <f>IF(A38="","",IF(AB38&lt;&gt;"","Closed",IF(X38&lt;&gt;"","With client",IF(L38&lt;&gt;"","Architect reviewed","Draft"))))</f>
        <v/>
      </c>
      <c r="AG38" s="39">
        <f>IF(A38="","",IF(AB38&lt;&gt;"","None",IF(X38&lt;&gt;"","Client",IF(L38&lt;&gt;"","Zero Trust Architect","Identity Architect"))))</f>
        <v/>
      </c>
      <c r="AH38" s="39">
        <f>IF(AB38="Accept and remediate","Remediation backlog (Jira story)",IF(AB38="Accept risk","Exception register (owner, expiry, compensating control)",IF(AB38="Defer","Status register (owner, risk, follow-on, target date)",IF(AB38="Reject","Record the rationale; close",""))))</f>
        <v/>
      </c>
      <c r="AI38" s="39" t="n"/>
    </row>
    <row r="39">
      <c r="A39" s="30" t="n"/>
      <c r="B39" s="30" t="n"/>
      <c r="C39" s="30" t="n"/>
      <c r="D39" s="30" t="n"/>
      <c r="E39" s="30" t="n"/>
      <c r="F39" s="30" t="n"/>
      <c r="G39" s="30" t="n"/>
      <c r="H39" s="30" t="n"/>
      <c r="I39" s="30" t="n"/>
      <c r="J39" s="30" t="n"/>
      <c r="K39" s="31" t="n"/>
      <c r="L39" s="32" t="n"/>
      <c r="M39" s="32" t="n"/>
      <c r="N39" s="32" t="n"/>
      <c r="O39" s="32" t="n"/>
      <c r="P39" s="32" t="n"/>
      <c r="Q39" s="32" t="n"/>
      <c r="R39" s="32" t="n"/>
      <c r="S39" s="33" t="n"/>
      <c r="T39" s="34" t="n"/>
      <c r="U39" s="34" t="n"/>
      <c r="V39" s="34" t="n"/>
      <c r="W39" s="34" t="n"/>
      <c r="X39" s="34" t="n"/>
      <c r="Y39" s="34" t="n"/>
      <c r="Z39" s="34" t="n"/>
      <c r="AA39" s="35" t="n"/>
      <c r="AB39" s="36" t="n"/>
      <c r="AC39" s="36" t="n"/>
      <c r="AD39" s="37" t="n"/>
      <c r="AE39" s="36" t="n"/>
      <c r="AF39" s="38">
        <f>IF(A39="","",IF(AB39&lt;&gt;"","Closed",IF(X39&lt;&gt;"","With client",IF(L39&lt;&gt;"","Architect reviewed","Draft"))))</f>
        <v/>
      </c>
      <c r="AG39" s="39">
        <f>IF(A39="","",IF(AB39&lt;&gt;"","None",IF(X39&lt;&gt;"","Client",IF(L39&lt;&gt;"","Zero Trust Architect","Identity Architect"))))</f>
        <v/>
      </c>
      <c r="AH39" s="39">
        <f>IF(AB39="Accept and remediate","Remediation backlog (Jira story)",IF(AB39="Accept risk","Exception register (owner, expiry, compensating control)",IF(AB39="Defer","Status register (owner, risk, follow-on, target date)",IF(AB39="Reject","Record the rationale; close",""))))</f>
        <v/>
      </c>
      <c r="AI39" s="39" t="n"/>
    </row>
    <row r="40">
      <c r="A40" s="30" t="n"/>
      <c r="B40" s="30" t="n"/>
      <c r="C40" s="30" t="n"/>
      <c r="D40" s="30" t="n"/>
      <c r="E40" s="30" t="n"/>
      <c r="F40" s="30" t="n"/>
      <c r="G40" s="30" t="n"/>
      <c r="H40" s="30" t="n"/>
      <c r="I40" s="30" t="n"/>
      <c r="J40" s="30" t="n"/>
      <c r="K40" s="31" t="n"/>
      <c r="L40" s="32" t="n"/>
      <c r="M40" s="32" t="n"/>
      <c r="N40" s="32" t="n"/>
      <c r="O40" s="32" t="n"/>
      <c r="P40" s="32" t="n"/>
      <c r="Q40" s="32" t="n"/>
      <c r="R40" s="32" t="n"/>
      <c r="S40" s="33" t="n"/>
      <c r="T40" s="34" t="n"/>
      <c r="U40" s="34" t="n"/>
      <c r="V40" s="34" t="n"/>
      <c r="W40" s="34" t="n"/>
      <c r="X40" s="34" t="n"/>
      <c r="Y40" s="34" t="n"/>
      <c r="Z40" s="34" t="n"/>
      <c r="AA40" s="35" t="n"/>
      <c r="AB40" s="36" t="n"/>
      <c r="AC40" s="36" t="n"/>
      <c r="AD40" s="37" t="n"/>
      <c r="AE40" s="36" t="n"/>
      <c r="AF40" s="38">
        <f>IF(A40="","",IF(AB40&lt;&gt;"","Closed",IF(X40&lt;&gt;"","With client",IF(L40&lt;&gt;"","Architect reviewed","Draft"))))</f>
        <v/>
      </c>
      <c r="AG40" s="39">
        <f>IF(A40="","",IF(AB40&lt;&gt;"","None",IF(X40&lt;&gt;"","Client",IF(L40&lt;&gt;"","Zero Trust Architect","Identity Architect"))))</f>
        <v/>
      </c>
      <c r="AH40" s="39">
        <f>IF(AB40="Accept and remediate","Remediation backlog (Jira story)",IF(AB40="Accept risk","Exception register (owner, expiry, compensating control)",IF(AB40="Defer","Status register (owner, risk, follow-on, target date)",IF(AB40="Reject","Record the rationale; close",""))))</f>
        <v/>
      </c>
      <c r="AI40" s="39" t="n"/>
    </row>
    <row r="41">
      <c r="A41" s="30" t="n"/>
      <c r="B41" s="30" t="n"/>
      <c r="C41" s="30" t="n"/>
      <c r="D41" s="30" t="n"/>
      <c r="E41" s="30" t="n"/>
      <c r="F41" s="30" t="n"/>
      <c r="G41" s="30" t="n"/>
      <c r="H41" s="30" t="n"/>
      <c r="I41" s="30" t="n"/>
      <c r="J41" s="30" t="n"/>
      <c r="K41" s="31" t="n"/>
      <c r="L41" s="32" t="n"/>
      <c r="M41" s="32" t="n"/>
      <c r="N41" s="32" t="n"/>
      <c r="O41" s="32" t="n"/>
      <c r="P41" s="32" t="n"/>
      <c r="Q41" s="32" t="n"/>
      <c r="R41" s="32" t="n"/>
      <c r="S41" s="33" t="n"/>
      <c r="T41" s="34" t="n"/>
      <c r="U41" s="34" t="n"/>
      <c r="V41" s="34" t="n"/>
      <c r="W41" s="34" t="n"/>
      <c r="X41" s="34" t="n"/>
      <c r="Y41" s="34" t="n"/>
      <c r="Z41" s="34" t="n"/>
      <c r="AA41" s="35" t="n"/>
      <c r="AB41" s="36" t="n"/>
      <c r="AC41" s="36" t="n"/>
      <c r="AD41" s="37" t="n"/>
      <c r="AE41" s="36" t="n"/>
      <c r="AF41" s="38">
        <f>IF(A41="","",IF(AB41&lt;&gt;"","Closed",IF(X41&lt;&gt;"","With client",IF(L41&lt;&gt;"","Architect reviewed","Draft"))))</f>
        <v/>
      </c>
      <c r="AG41" s="39">
        <f>IF(A41="","",IF(AB41&lt;&gt;"","None",IF(X41&lt;&gt;"","Client",IF(L41&lt;&gt;"","Zero Trust Architect","Identity Architect"))))</f>
        <v/>
      </c>
      <c r="AH41" s="39">
        <f>IF(AB41="Accept and remediate","Remediation backlog (Jira story)",IF(AB41="Accept risk","Exception register (owner, expiry, compensating control)",IF(AB41="Defer","Status register (owner, risk, follow-on, target date)",IF(AB41="Reject","Record the rationale; close",""))))</f>
        <v/>
      </c>
      <c r="AI41" s="39" t="n"/>
    </row>
    <row r="42">
      <c r="A42" s="30" t="n"/>
      <c r="B42" s="30" t="n"/>
      <c r="C42" s="30" t="n"/>
      <c r="D42" s="30" t="n"/>
      <c r="E42" s="30" t="n"/>
      <c r="F42" s="30" t="n"/>
      <c r="G42" s="30" t="n"/>
      <c r="H42" s="30" t="n"/>
      <c r="I42" s="30" t="n"/>
      <c r="J42" s="30" t="n"/>
      <c r="K42" s="31" t="n"/>
      <c r="L42" s="32" t="n"/>
      <c r="M42" s="32" t="n"/>
      <c r="N42" s="32" t="n"/>
      <c r="O42" s="32" t="n"/>
      <c r="P42" s="32" t="n"/>
      <c r="Q42" s="32" t="n"/>
      <c r="R42" s="32" t="n"/>
      <c r="S42" s="33" t="n"/>
      <c r="T42" s="34" t="n"/>
      <c r="U42" s="34" t="n"/>
      <c r="V42" s="34" t="n"/>
      <c r="W42" s="34" t="n"/>
      <c r="X42" s="34" t="n"/>
      <c r="Y42" s="34" t="n"/>
      <c r="Z42" s="34" t="n"/>
      <c r="AA42" s="35" t="n"/>
      <c r="AB42" s="36" t="n"/>
      <c r="AC42" s="36" t="n"/>
      <c r="AD42" s="37" t="n"/>
      <c r="AE42" s="36" t="n"/>
      <c r="AF42" s="38">
        <f>IF(A42="","",IF(AB42&lt;&gt;"","Closed",IF(X42&lt;&gt;"","With client",IF(L42&lt;&gt;"","Architect reviewed","Draft"))))</f>
        <v/>
      </c>
      <c r="AG42" s="39">
        <f>IF(A42="","",IF(AB42&lt;&gt;"","None",IF(X42&lt;&gt;"","Client",IF(L42&lt;&gt;"","Zero Trust Architect","Identity Architect"))))</f>
        <v/>
      </c>
      <c r="AH42" s="39">
        <f>IF(AB42="Accept and remediate","Remediation backlog (Jira story)",IF(AB42="Accept risk","Exception register (owner, expiry, compensating control)",IF(AB42="Defer","Status register (owner, risk, follow-on, target date)",IF(AB42="Reject","Record the rationale; close",""))))</f>
        <v/>
      </c>
      <c r="AI42" s="39" t="n"/>
    </row>
    <row r="43">
      <c r="A43" s="30" t="n"/>
      <c r="B43" s="30" t="n"/>
      <c r="C43" s="30" t="n"/>
      <c r="D43" s="30" t="n"/>
      <c r="E43" s="30" t="n"/>
      <c r="F43" s="30" t="n"/>
      <c r="G43" s="30" t="n"/>
      <c r="H43" s="30" t="n"/>
      <c r="I43" s="30" t="n"/>
      <c r="J43" s="30" t="n"/>
      <c r="K43" s="31" t="n"/>
      <c r="L43" s="32" t="n"/>
      <c r="M43" s="32" t="n"/>
      <c r="N43" s="32" t="n"/>
      <c r="O43" s="32" t="n"/>
      <c r="P43" s="32" t="n"/>
      <c r="Q43" s="32" t="n"/>
      <c r="R43" s="32" t="n"/>
      <c r="S43" s="33" t="n"/>
      <c r="T43" s="34" t="n"/>
      <c r="U43" s="34" t="n"/>
      <c r="V43" s="34" t="n"/>
      <c r="W43" s="34" t="n"/>
      <c r="X43" s="34" t="n"/>
      <c r="Y43" s="34" t="n"/>
      <c r="Z43" s="34" t="n"/>
      <c r="AA43" s="35" t="n"/>
      <c r="AB43" s="36" t="n"/>
      <c r="AC43" s="36" t="n"/>
      <c r="AD43" s="37" t="n"/>
      <c r="AE43" s="36" t="n"/>
      <c r="AF43" s="38">
        <f>IF(A43="","",IF(AB43&lt;&gt;"","Closed",IF(X43&lt;&gt;"","With client",IF(L43&lt;&gt;"","Architect reviewed","Draft"))))</f>
        <v/>
      </c>
      <c r="AG43" s="39">
        <f>IF(A43="","",IF(AB43&lt;&gt;"","None",IF(X43&lt;&gt;"","Client",IF(L43&lt;&gt;"","Zero Trust Architect","Identity Architect"))))</f>
        <v/>
      </c>
      <c r="AH43" s="39">
        <f>IF(AB43="Accept and remediate","Remediation backlog (Jira story)",IF(AB43="Accept risk","Exception register (owner, expiry, compensating control)",IF(AB43="Defer","Status register (owner, risk, follow-on, target date)",IF(AB43="Reject","Record the rationale; close",""))))</f>
        <v/>
      </c>
      <c r="AI43" s="39" t="n"/>
    </row>
    <row r="44">
      <c r="A44" s="30" t="n"/>
      <c r="B44" s="30" t="n"/>
      <c r="C44" s="30" t="n"/>
      <c r="D44" s="30" t="n"/>
      <c r="E44" s="30" t="n"/>
      <c r="F44" s="30" t="n"/>
      <c r="G44" s="30" t="n"/>
      <c r="H44" s="30" t="n"/>
      <c r="I44" s="30" t="n"/>
      <c r="J44" s="30" t="n"/>
      <c r="K44" s="31" t="n"/>
      <c r="L44" s="32" t="n"/>
      <c r="M44" s="32" t="n"/>
      <c r="N44" s="32" t="n"/>
      <c r="O44" s="32" t="n"/>
      <c r="P44" s="32" t="n"/>
      <c r="Q44" s="32" t="n"/>
      <c r="R44" s="32" t="n"/>
      <c r="S44" s="33" t="n"/>
      <c r="T44" s="34" t="n"/>
      <c r="U44" s="34" t="n"/>
      <c r="V44" s="34" t="n"/>
      <c r="W44" s="34" t="n"/>
      <c r="X44" s="34" t="n"/>
      <c r="Y44" s="34" t="n"/>
      <c r="Z44" s="34" t="n"/>
      <c r="AA44" s="35" t="n"/>
      <c r="AB44" s="36" t="n"/>
      <c r="AC44" s="36" t="n"/>
      <c r="AD44" s="37" t="n"/>
      <c r="AE44" s="36" t="n"/>
      <c r="AF44" s="38">
        <f>IF(A44="","",IF(AB44&lt;&gt;"","Closed",IF(X44&lt;&gt;"","With client",IF(L44&lt;&gt;"","Architect reviewed","Draft"))))</f>
        <v/>
      </c>
      <c r="AG44" s="39">
        <f>IF(A44="","",IF(AB44&lt;&gt;"","None",IF(X44&lt;&gt;"","Client",IF(L44&lt;&gt;"","Zero Trust Architect","Identity Architect"))))</f>
        <v/>
      </c>
      <c r="AH44" s="39">
        <f>IF(AB44="Accept and remediate","Remediation backlog (Jira story)",IF(AB44="Accept risk","Exception register (owner, expiry, compensating control)",IF(AB44="Defer","Status register (owner, risk, follow-on, target date)",IF(AB44="Reject","Record the rationale; close",""))))</f>
        <v/>
      </c>
      <c r="AI44" s="39" t="n"/>
    </row>
    <row r="45">
      <c r="A45" s="30" t="n"/>
      <c r="B45" s="30" t="n"/>
      <c r="C45" s="30" t="n"/>
      <c r="D45" s="30" t="n"/>
      <c r="E45" s="30" t="n"/>
      <c r="F45" s="30" t="n"/>
      <c r="G45" s="30" t="n"/>
      <c r="H45" s="30" t="n"/>
      <c r="I45" s="30" t="n"/>
      <c r="J45" s="30" t="n"/>
      <c r="K45" s="31" t="n"/>
      <c r="L45" s="32" t="n"/>
      <c r="M45" s="32" t="n"/>
      <c r="N45" s="32" t="n"/>
      <c r="O45" s="32" t="n"/>
      <c r="P45" s="32" t="n"/>
      <c r="Q45" s="32" t="n"/>
      <c r="R45" s="32" t="n"/>
      <c r="S45" s="33" t="n"/>
      <c r="T45" s="34" t="n"/>
      <c r="U45" s="34" t="n"/>
      <c r="V45" s="34" t="n"/>
      <c r="W45" s="34" t="n"/>
      <c r="X45" s="34" t="n"/>
      <c r="Y45" s="34" t="n"/>
      <c r="Z45" s="34" t="n"/>
      <c r="AA45" s="35" t="n"/>
      <c r="AB45" s="36" t="n"/>
      <c r="AC45" s="36" t="n"/>
      <c r="AD45" s="37" t="n"/>
      <c r="AE45" s="36" t="n"/>
      <c r="AF45" s="38">
        <f>IF(A45="","",IF(AB45&lt;&gt;"","Closed",IF(X45&lt;&gt;"","With client",IF(L45&lt;&gt;"","Architect reviewed","Draft"))))</f>
        <v/>
      </c>
      <c r="AG45" s="39">
        <f>IF(A45="","",IF(AB45&lt;&gt;"","None",IF(X45&lt;&gt;"","Client",IF(L45&lt;&gt;"","Zero Trust Architect","Identity Architect"))))</f>
        <v/>
      </c>
      <c r="AH45" s="39">
        <f>IF(AB45="Accept and remediate","Remediation backlog (Jira story)",IF(AB45="Accept risk","Exception register (owner, expiry, compensating control)",IF(AB45="Defer","Status register (owner, risk, follow-on, target date)",IF(AB45="Reject","Record the rationale; close",""))))</f>
        <v/>
      </c>
      <c r="AI45" s="39" t="n"/>
    </row>
    <row r="46">
      <c r="A46" s="30" t="n"/>
      <c r="B46" s="30" t="n"/>
      <c r="C46" s="30" t="n"/>
      <c r="D46" s="30" t="n"/>
      <c r="E46" s="30" t="n"/>
      <c r="F46" s="30" t="n"/>
      <c r="G46" s="30" t="n"/>
      <c r="H46" s="30" t="n"/>
      <c r="I46" s="30" t="n"/>
      <c r="J46" s="30" t="n"/>
      <c r="K46" s="31" t="n"/>
      <c r="L46" s="32" t="n"/>
      <c r="M46" s="32" t="n"/>
      <c r="N46" s="32" t="n"/>
      <c r="O46" s="32" t="n"/>
      <c r="P46" s="32" t="n"/>
      <c r="Q46" s="32" t="n"/>
      <c r="R46" s="32" t="n"/>
      <c r="S46" s="33" t="n"/>
      <c r="T46" s="34" t="n"/>
      <c r="U46" s="34" t="n"/>
      <c r="V46" s="34" t="n"/>
      <c r="W46" s="34" t="n"/>
      <c r="X46" s="34" t="n"/>
      <c r="Y46" s="34" t="n"/>
      <c r="Z46" s="34" t="n"/>
      <c r="AA46" s="35" t="n"/>
      <c r="AB46" s="36" t="n"/>
      <c r="AC46" s="36" t="n"/>
      <c r="AD46" s="37" t="n"/>
      <c r="AE46" s="36" t="n"/>
      <c r="AF46" s="38">
        <f>IF(A46="","",IF(AB46&lt;&gt;"","Closed",IF(X46&lt;&gt;"","With client",IF(L46&lt;&gt;"","Architect reviewed","Draft"))))</f>
        <v/>
      </c>
      <c r="AG46" s="39">
        <f>IF(A46="","",IF(AB46&lt;&gt;"","None",IF(X46&lt;&gt;"","Client",IF(L46&lt;&gt;"","Zero Trust Architect","Identity Architect"))))</f>
        <v/>
      </c>
      <c r="AH46" s="39">
        <f>IF(AB46="Accept and remediate","Remediation backlog (Jira story)",IF(AB46="Accept risk","Exception register (owner, expiry, compensating control)",IF(AB46="Defer","Status register (owner, risk, follow-on, target date)",IF(AB46="Reject","Record the rationale; close",""))))</f>
        <v/>
      </c>
      <c r="AI46" s="39" t="n"/>
    </row>
    <row r="47">
      <c r="A47" s="30" t="n"/>
      <c r="B47" s="30" t="n"/>
      <c r="C47" s="30" t="n"/>
      <c r="D47" s="30" t="n"/>
      <c r="E47" s="30" t="n"/>
      <c r="F47" s="30" t="n"/>
      <c r="G47" s="30" t="n"/>
      <c r="H47" s="30" t="n"/>
      <c r="I47" s="30" t="n"/>
      <c r="J47" s="30" t="n"/>
      <c r="K47" s="31" t="n"/>
      <c r="L47" s="32" t="n"/>
      <c r="M47" s="32" t="n"/>
      <c r="N47" s="32" t="n"/>
      <c r="O47" s="32" t="n"/>
      <c r="P47" s="32" t="n"/>
      <c r="Q47" s="32" t="n"/>
      <c r="R47" s="32" t="n"/>
      <c r="S47" s="33" t="n"/>
      <c r="T47" s="34" t="n"/>
      <c r="U47" s="34" t="n"/>
      <c r="V47" s="34" t="n"/>
      <c r="W47" s="34" t="n"/>
      <c r="X47" s="34" t="n"/>
      <c r="Y47" s="34" t="n"/>
      <c r="Z47" s="34" t="n"/>
      <c r="AA47" s="35" t="n"/>
      <c r="AB47" s="36" t="n"/>
      <c r="AC47" s="36" t="n"/>
      <c r="AD47" s="37" t="n"/>
      <c r="AE47" s="36" t="n"/>
      <c r="AF47" s="38">
        <f>IF(A47="","",IF(AB47&lt;&gt;"","Closed",IF(X47&lt;&gt;"","With client",IF(L47&lt;&gt;"","Architect reviewed","Draft"))))</f>
        <v/>
      </c>
      <c r="AG47" s="39">
        <f>IF(A47="","",IF(AB47&lt;&gt;"","None",IF(X47&lt;&gt;"","Client",IF(L47&lt;&gt;"","Zero Trust Architect","Identity Architect"))))</f>
        <v/>
      </c>
      <c r="AH47" s="39">
        <f>IF(AB47="Accept and remediate","Remediation backlog (Jira story)",IF(AB47="Accept risk","Exception register (owner, expiry, compensating control)",IF(AB47="Defer","Status register (owner, risk, follow-on, target date)",IF(AB47="Reject","Record the rationale; close",""))))</f>
        <v/>
      </c>
      <c r="AI47" s="39" t="n"/>
    </row>
    <row r="48">
      <c r="A48" s="30" t="n"/>
      <c r="B48" s="30" t="n"/>
      <c r="C48" s="30" t="n"/>
      <c r="D48" s="30" t="n"/>
      <c r="E48" s="30" t="n"/>
      <c r="F48" s="30" t="n"/>
      <c r="G48" s="30" t="n"/>
      <c r="H48" s="30" t="n"/>
      <c r="I48" s="30" t="n"/>
      <c r="J48" s="30" t="n"/>
      <c r="K48" s="31" t="n"/>
      <c r="L48" s="32" t="n"/>
      <c r="M48" s="32" t="n"/>
      <c r="N48" s="32" t="n"/>
      <c r="O48" s="32" t="n"/>
      <c r="P48" s="32" t="n"/>
      <c r="Q48" s="32" t="n"/>
      <c r="R48" s="32" t="n"/>
      <c r="S48" s="33" t="n"/>
      <c r="T48" s="34" t="n"/>
      <c r="U48" s="34" t="n"/>
      <c r="V48" s="34" t="n"/>
      <c r="W48" s="34" t="n"/>
      <c r="X48" s="34" t="n"/>
      <c r="Y48" s="34" t="n"/>
      <c r="Z48" s="34" t="n"/>
      <c r="AA48" s="35" t="n"/>
      <c r="AB48" s="36" t="n"/>
      <c r="AC48" s="36" t="n"/>
      <c r="AD48" s="37" t="n"/>
      <c r="AE48" s="36" t="n"/>
      <c r="AF48" s="38">
        <f>IF(A48="","",IF(AB48&lt;&gt;"","Closed",IF(X48&lt;&gt;"","With client",IF(L48&lt;&gt;"","Architect reviewed","Draft"))))</f>
        <v/>
      </c>
      <c r="AG48" s="39">
        <f>IF(A48="","",IF(AB48&lt;&gt;"","None",IF(X48&lt;&gt;"","Client",IF(L48&lt;&gt;"","Zero Trust Architect","Identity Architect"))))</f>
        <v/>
      </c>
      <c r="AH48" s="39">
        <f>IF(AB48="Accept and remediate","Remediation backlog (Jira story)",IF(AB48="Accept risk","Exception register (owner, expiry, compensating control)",IF(AB48="Defer","Status register (owner, risk, follow-on, target date)",IF(AB48="Reject","Record the rationale; close",""))))</f>
        <v/>
      </c>
      <c r="AI48" s="39" t="n"/>
    </row>
    <row r="49">
      <c r="A49" s="30" t="n"/>
      <c r="B49" s="30" t="n"/>
      <c r="C49" s="30" t="n"/>
      <c r="D49" s="30" t="n"/>
      <c r="E49" s="30" t="n"/>
      <c r="F49" s="30" t="n"/>
      <c r="G49" s="30" t="n"/>
      <c r="H49" s="30" t="n"/>
      <c r="I49" s="30" t="n"/>
      <c r="J49" s="30" t="n"/>
      <c r="K49" s="31" t="n"/>
      <c r="L49" s="32" t="n"/>
      <c r="M49" s="32" t="n"/>
      <c r="N49" s="32" t="n"/>
      <c r="O49" s="32" t="n"/>
      <c r="P49" s="32" t="n"/>
      <c r="Q49" s="32" t="n"/>
      <c r="R49" s="32" t="n"/>
      <c r="S49" s="33" t="n"/>
      <c r="T49" s="34" t="n"/>
      <c r="U49" s="34" t="n"/>
      <c r="V49" s="34" t="n"/>
      <c r="W49" s="34" t="n"/>
      <c r="X49" s="34" t="n"/>
      <c r="Y49" s="34" t="n"/>
      <c r="Z49" s="34" t="n"/>
      <c r="AA49" s="35" t="n"/>
      <c r="AB49" s="36" t="n"/>
      <c r="AC49" s="36" t="n"/>
      <c r="AD49" s="37" t="n"/>
      <c r="AE49" s="36" t="n"/>
      <c r="AF49" s="38">
        <f>IF(A49="","",IF(AB49&lt;&gt;"","Closed",IF(X49&lt;&gt;"","With client",IF(L49&lt;&gt;"","Architect reviewed","Draft"))))</f>
        <v/>
      </c>
      <c r="AG49" s="39">
        <f>IF(A49="","",IF(AB49&lt;&gt;"","None",IF(X49&lt;&gt;"","Client",IF(L49&lt;&gt;"","Zero Trust Architect","Identity Architect"))))</f>
        <v/>
      </c>
      <c r="AH49" s="39">
        <f>IF(AB49="Accept and remediate","Remediation backlog (Jira story)",IF(AB49="Accept risk","Exception register (owner, expiry, compensating control)",IF(AB49="Defer","Status register (owner, risk, follow-on, target date)",IF(AB49="Reject","Record the rationale; close",""))))</f>
        <v/>
      </c>
      <c r="AI49" s="39" t="n"/>
    </row>
    <row r="50">
      <c r="A50" s="30" t="n"/>
      <c r="B50" s="30" t="n"/>
      <c r="C50" s="30" t="n"/>
      <c r="D50" s="30" t="n"/>
      <c r="E50" s="30" t="n"/>
      <c r="F50" s="30" t="n"/>
      <c r="G50" s="30" t="n"/>
      <c r="H50" s="30" t="n"/>
      <c r="I50" s="30" t="n"/>
      <c r="J50" s="30" t="n"/>
      <c r="K50" s="31" t="n"/>
      <c r="L50" s="32" t="n"/>
      <c r="M50" s="32" t="n"/>
      <c r="N50" s="32" t="n"/>
      <c r="O50" s="32" t="n"/>
      <c r="P50" s="32" t="n"/>
      <c r="Q50" s="32" t="n"/>
      <c r="R50" s="32" t="n"/>
      <c r="S50" s="33" t="n"/>
      <c r="T50" s="34" t="n"/>
      <c r="U50" s="34" t="n"/>
      <c r="V50" s="34" t="n"/>
      <c r="W50" s="34" t="n"/>
      <c r="X50" s="34" t="n"/>
      <c r="Y50" s="34" t="n"/>
      <c r="Z50" s="34" t="n"/>
      <c r="AA50" s="35" t="n"/>
      <c r="AB50" s="36" t="n"/>
      <c r="AC50" s="36" t="n"/>
      <c r="AD50" s="37" t="n"/>
      <c r="AE50" s="36" t="n"/>
      <c r="AF50" s="38">
        <f>IF(A50="","",IF(AB50&lt;&gt;"","Closed",IF(X50&lt;&gt;"","With client",IF(L50&lt;&gt;"","Architect reviewed","Draft"))))</f>
        <v/>
      </c>
      <c r="AG50" s="39">
        <f>IF(A50="","",IF(AB50&lt;&gt;"","None",IF(X50&lt;&gt;"","Client",IF(L50&lt;&gt;"","Zero Trust Architect","Identity Architect"))))</f>
        <v/>
      </c>
      <c r="AH50" s="39">
        <f>IF(AB50="Accept and remediate","Remediation backlog (Jira story)",IF(AB50="Accept risk","Exception register (owner, expiry, compensating control)",IF(AB50="Defer","Status register (owner, risk, follow-on, target date)",IF(AB50="Reject","Record the rationale; close",""))))</f>
        <v/>
      </c>
      <c r="AI50" s="39" t="n"/>
    </row>
    <row r="51">
      <c r="A51" s="30" t="n"/>
      <c r="B51" s="30" t="n"/>
      <c r="C51" s="30" t="n"/>
      <c r="D51" s="30" t="n"/>
      <c r="E51" s="30" t="n"/>
      <c r="F51" s="30" t="n"/>
      <c r="G51" s="30" t="n"/>
      <c r="H51" s="30" t="n"/>
      <c r="I51" s="30" t="n"/>
      <c r="J51" s="30" t="n"/>
      <c r="K51" s="31" t="n"/>
      <c r="L51" s="32" t="n"/>
      <c r="M51" s="32" t="n"/>
      <c r="N51" s="32" t="n"/>
      <c r="O51" s="32" t="n"/>
      <c r="P51" s="32" t="n"/>
      <c r="Q51" s="32" t="n"/>
      <c r="R51" s="32" t="n"/>
      <c r="S51" s="33" t="n"/>
      <c r="T51" s="34" t="n"/>
      <c r="U51" s="34" t="n"/>
      <c r="V51" s="34" t="n"/>
      <c r="W51" s="34" t="n"/>
      <c r="X51" s="34" t="n"/>
      <c r="Y51" s="34" t="n"/>
      <c r="Z51" s="34" t="n"/>
      <c r="AA51" s="35" t="n"/>
      <c r="AB51" s="36" t="n"/>
      <c r="AC51" s="36" t="n"/>
      <c r="AD51" s="37" t="n"/>
      <c r="AE51" s="36" t="n"/>
      <c r="AF51" s="38">
        <f>IF(A51="","",IF(AB51&lt;&gt;"","Closed",IF(X51&lt;&gt;"","With client",IF(L51&lt;&gt;"","Architect reviewed","Draft"))))</f>
        <v/>
      </c>
      <c r="AG51" s="39">
        <f>IF(A51="","",IF(AB51&lt;&gt;"","None",IF(X51&lt;&gt;"","Client",IF(L51&lt;&gt;"","Zero Trust Architect","Identity Architect"))))</f>
        <v/>
      </c>
      <c r="AH51" s="39">
        <f>IF(AB51="Accept and remediate","Remediation backlog (Jira story)",IF(AB51="Accept risk","Exception register (owner, expiry, compensating control)",IF(AB51="Defer","Status register (owner, risk, follow-on, target date)",IF(AB51="Reject","Record the rationale; close",""))))</f>
        <v/>
      </c>
      <c r="AI51" s="39" t="n"/>
    </row>
    <row r="52">
      <c r="A52" s="30" t="n"/>
      <c r="B52" s="30" t="n"/>
      <c r="C52" s="30" t="n"/>
      <c r="D52" s="30" t="n"/>
      <c r="E52" s="30" t="n"/>
      <c r="F52" s="30" t="n"/>
      <c r="G52" s="30" t="n"/>
      <c r="H52" s="30" t="n"/>
      <c r="I52" s="30" t="n"/>
      <c r="J52" s="30" t="n"/>
      <c r="K52" s="31" t="n"/>
      <c r="L52" s="32" t="n"/>
      <c r="M52" s="32" t="n"/>
      <c r="N52" s="32" t="n"/>
      <c r="O52" s="32" t="n"/>
      <c r="P52" s="32" t="n"/>
      <c r="Q52" s="32" t="n"/>
      <c r="R52" s="32" t="n"/>
      <c r="S52" s="33" t="n"/>
      <c r="T52" s="34" t="n"/>
      <c r="U52" s="34" t="n"/>
      <c r="V52" s="34" t="n"/>
      <c r="W52" s="34" t="n"/>
      <c r="X52" s="34" t="n"/>
      <c r="Y52" s="34" t="n"/>
      <c r="Z52" s="34" t="n"/>
      <c r="AA52" s="35" t="n"/>
      <c r="AB52" s="36" t="n"/>
      <c r="AC52" s="36" t="n"/>
      <c r="AD52" s="37" t="n"/>
      <c r="AE52" s="36" t="n"/>
      <c r="AF52" s="38">
        <f>IF(A52="","",IF(AB52&lt;&gt;"","Closed",IF(X52&lt;&gt;"","With client",IF(L52&lt;&gt;"","Architect reviewed","Draft"))))</f>
        <v/>
      </c>
      <c r="AG52" s="39">
        <f>IF(A52="","",IF(AB52&lt;&gt;"","None",IF(X52&lt;&gt;"","Client",IF(L52&lt;&gt;"","Zero Trust Architect","Identity Architect"))))</f>
        <v/>
      </c>
      <c r="AH52" s="39">
        <f>IF(AB52="Accept and remediate","Remediation backlog (Jira story)",IF(AB52="Accept risk","Exception register (owner, expiry, compensating control)",IF(AB52="Defer","Status register (owner, risk, follow-on, target date)",IF(AB52="Reject","Record the rationale; close",""))))</f>
        <v/>
      </c>
      <c r="AI52" s="39" t="n"/>
    </row>
    <row r="53">
      <c r="A53" s="30" t="n"/>
      <c r="B53" s="30" t="n"/>
      <c r="C53" s="30" t="n"/>
      <c r="D53" s="30" t="n"/>
      <c r="E53" s="30" t="n"/>
      <c r="F53" s="30" t="n"/>
      <c r="G53" s="30" t="n"/>
      <c r="H53" s="30" t="n"/>
      <c r="I53" s="30" t="n"/>
      <c r="J53" s="30" t="n"/>
      <c r="K53" s="31" t="n"/>
      <c r="L53" s="32" t="n"/>
      <c r="M53" s="32" t="n"/>
      <c r="N53" s="32" t="n"/>
      <c r="O53" s="32" t="n"/>
      <c r="P53" s="32" t="n"/>
      <c r="Q53" s="32" t="n"/>
      <c r="R53" s="32" t="n"/>
      <c r="S53" s="33" t="n"/>
      <c r="T53" s="34" t="n"/>
      <c r="U53" s="34" t="n"/>
      <c r="V53" s="34" t="n"/>
      <c r="W53" s="34" t="n"/>
      <c r="X53" s="34" t="n"/>
      <c r="Y53" s="34" t="n"/>
      <c r="Z53" s="34" t="n"/>
      <c r="AA53" s="35" t="n"/>
      <c r="AB53" s="36" t="n"/>
      <c r="AC53" s="36" t="n"/>
      <c r="AD53" s="37" t="n"/>
      <c r="AE53" s="36" t="n"/>
      <c r="AF53" s="38">
        <f>IF(A53="","",IF(AB53&lt;&gt;"","Closed",IF(X53&lt;&gt;"","With client",IF(L53&lt;&gt;"","Architect reviewed","Draft"))))</f>
        <v/>
      </c>
      <c r="AG53" s="39">
        <f>IF(A53="","",IF(AB53&lt;&gt;"","None",IF(X53&lt;&gt;"","Client",IF(L53&lt;&gt;"","Zero Trust Architect","Identity Architect"))))</f>
        <v/>
      </c>
      <c r="AH53" s="39">
        <f>IF(AB53="Accept and remediate","Remediation backlog (Jira story)",IF(AB53="Accept risk","Exception register (owner, expiry, compensating control)",IF(AB53="Defer","Status register (owner, risk, follow-on, target date)",IF(AB53="Reject","Record the rationale; close",""))))</f>
        <v/>
      </c>
      <c r="AI53" s="39" t="n"/>
    </row>
    <row r="54">
      <c r="A54" s="30" t="n"/>
      <c r="B54" s="30" t="n"/>
      <c r="C54" s="30" t="n"/>
      <c r="D54" s="30" t="n"/>
      <c r="E54" s="30" t="n"/>
      <c r="F54" s="30" t="n"/>
      <c r="G54" s="30" t="n"/>
      <c r="H54" s="30" t="n"/>
      <c r="I54" s="30" t="n"/>
      <c r="J54" s="30" t="n"/>
      <c r="K54" s="31" t="n"/>
      <c r="L54" s="32" t="n"/>
      <c r="M54" s="32" t="n"/>
      <c r="N54" s="32" t="n"/>
      <c r="O54" s="32" t="n"/>
      <c r="P54" s="32" t="n"/>
      <c r="Q54" s="32" t="n"/>
      <c r="R54" s="32" t="n"/>
      <c r="S54" s="33" t="n"/>
      <c r="T54" s="34" t="n"/>
      <c r="U54" s="34" t="n"/>
      <c r="V54" s="34" t="n"/>
      <c r="W54" s="34" t="n"/>
      <c r="X54" s="34" t="n"/>
      <c r="Y54" s="34" t="n"/>
      <c r="Z54" s="34" t="n"/>
      <c r="AA54" s="35" t="n"/>
      <c r="AB54" s="36" t="n"/>
      <c r="AC54" s="36" t="n"/>
      <c r="AD54" s="37" t="n"/>
      <c r="AE54" s="36" t="n"/>
      <c r="AF54" s="38">
        <f>IF(A54="","",IF(AB54&lt;&gt;"","Closed",IF(X54&lt;&gt;"","With client",IF(L54&lt;&gt;"","Architect reviewed","Draft"))))</f>
        <v/>
      </c>
      <c r="AG54" s="39">
        <f>IF(A54="","",IF(AB54&lt;&gt;"","None",IF(X54&lt;&gt;"","Client",IF(L54&lt;&gt;"","Zero Trust Architect","Identity Architect"))))</f>
        <v/>
      </c>
      <c r="AH54" s="39">
        <f>IF(AB54="Accept and remediate","Remediation backlog (Jira story)",IF(AB54="Accept risk","Exception register (owner, expiry, compensating control)",IF(AB54="Defer","Status register (owner, risk, follow-on, target date)",IF(AB54="Reject","Record the rationale; close",""))))</f>
        <v/>
      </c>
      <c r="AI54" s="39" t="n"/>
    </row>
    <row r="55">
      <c r="A55" s="30" t="n"/>
      <c r="B55" s="30" t="n"/>
      <c r="C55" s="30" t="n"/>
      <c r="D55" s="30" t="n"/>
      <c r="E55" s="30" t="n"/>
      <c r="F55" s="30" t="n"/>
      <c r="G55" s="30" t="n"/>
      <c r="H55" s="30" t="n"/>
      <c r="I55" s="30" t="n"/>
      <c r="J55" s="30" t="n"/>
      <c r="K55" s="31" t="n"/>
      <c r="L55" s="32" t="n"/>
      <c r="M55" s="32" t="n"/>
      <c r="N55" s="32" t="n"/>
      <c r="O55" s="32" t="n"/>
      <c r="P55" s="32" t="n"/>
      <c r="Q55" s="32" t="n"/>
      <c r="R55" s="32" t="n"/>
      <c r="S55" s="33" t="n"/>
      <c r="T55" s="34" t="n"/>
      <c r="U55" s="34" t="n"/>
      <c r="V55" s="34" t="n"/>
      <c r="W55" s="34" t="n"/>
      <c r="X55" s="34" t="n"/>
      <c r="Y55" s="34" t="n"/>
      <c r="Z55" s="34" t="n"/>
      <c r="AA55" s="35" t="n"/>
      <c r="AB55" s="36" t="n"/>
      <c r="AC55" s="36" t="n"/>
      <c r="AD55" s="37" t="n"/>
      <c r="AE55" s="36" t="n"/>
      <c r="AF55" s="38">
        <f>IF(A55="","",IF(AB55&lt;&gt;"","Closed",IF(X55&lt;&gt;"","With client",IF(L55&lt;&gt;"","Architect reviewed","Draft"))))</f>
        <v/>
      </c>
      <c r="AG55" s="39">
        <f>IF(A55="","",IF(AB55&lt;&gt;"","None",IF(X55&lt;&gt;"","Client",IF(L55&lt;&gt;"","Zero Trust Architect","Identity Architect"))))</f>
        <v/>
      </c>
      <c r="AH55" s="39">
        <f>IF(AB55="Accept and remediate","Remediation backlog (Jira story)",IF(AB55="Accept risk","Exception register (owner, expiry, compensating control)",IF(AB55="Defer","Status register (owner, risk, follow-on, target date)",IF(AB55="Reject","Record the rationale; close",""))))</f>
        <v/>
      </c>
      <c r="AI55" s="39" t="n"/>
    </row>
    <row r="56">
      <c r="A56" s="30" t="n"/>
      <c r="B56" s="30" t="n"/>
      <c r="C56" s="30" t="n"/>
      <c r="D56" s="30" t="n"/>
      <c r="E56" s="30" t="n"/>
      <c r="F56" s="30" t="n"/>
      <c r="G56" s="30" t="n"/>
      <c r="H56" s="30" t="n"/>
      <c r="I56" s="30" t="n"/>
      <c r="J56" s="30" t="n"/>
      <c r="K56" s="31" t="n"/>
      <c r="L56" s="32" t="n"/>
      <c r="M56" s="32" t="n"/>
      <c r="N56" s="32" t="n"/>
      <c r="O56" s="32" t="n"/>
      <c r="P56" s="32" t="n"/>
      <c r="Q56" s="32" t="n"/>
      <c r="R56" s="32" t="n"/>
      <c r="S56" s="33" t="n"/>
      <c r="T56" s="34" t="n"/>
      <c r="U56" s="34" t="n"/>
      <c r="V56" s="34" t="n"/>
      <c r="W56" s="34" t="n"/>
      <c r="X56" s="34" t="n"/>
      <c r="Y56" s="34" t="n"/>
      <c r="Z56" s="34" t="n"/>
      <c r="AA56" s="35" t="n"/>
      <c r="AB56" s="36" t="n"/>
      <c r="AC56" s="36" t="n"/>
      <c r="AD56" s="37" t="n"/>
      <c r="AE56" s="36" t="n"/>
      <c r="AF56" s="38">
        <f>IF(A56="","",IF(AB56&lt;&gt;"","Closed",IF(X56&lt;&gt;"","With client",IF(L56&lt;&gt;"","Architect reviewed","Draft"))))</f>
        <v/>
      </c>
      <c r="AG56" s="39">
        <f>IF(A56="","",IF(AB56&lt;&gt;"","None",IF(X56&lt;&gt;"","Client",IF(L56&lt;&gt;"","Zero Trust Architect","Identity Architect"))))</f>
        <v/>
      </c>
      <c r="AH56" s="39">
        <f>IF(AB56="Accept and remediate","Remediation backlog (Jira story)",IF(AB56="Accept risk","Exception register (owner, expiry, compensating control)",IF(AB56="Defer","Status register (owner, risk, follow-on, target date)",IF(AB56="Reject","Record the rationale; close",""))))</f>
        <v/>
      </c>
      <c r="AI56" s="39" t="n"/>
    </row>
    <row r="57">
      <c r="A57" s="30" t="n"/>
      <c r="B57" s="30" t="n"/>
      <c r="C57" s="30" t="n"/>
      <c r="D57" s="30" t="n"/>
      <c r="E57" s="30" t="n"/>
      <c r="F57" s="30" t="n"/>
      <c r="G57" s="30" t="n"/>
      <c r="H57" s="30" t="n"/>
      <c r="I57" s="30" t="n"/>
      <c r="J57" s="30" t="n"/>
      <c r="K57" s="31" t="n"/>
      <c r="L57" s="32" t="n"/>
      <c r="M57" s="32" t="n"/>
      <c r="N57" s="32" t="n"/>
      <c r="O57" s="32" t="n"/>
      <c r="P57" s="32" t="n"/>
      <c r="Q57" s="32" t="n"/>
      <c r="R57" s="32" t="n"/>
      <c r="S57" s="33" t="n"/>
      <c r="T57" s="34" t="n"/>
      <c r="U57" s="34" t="n"/>
      <c r="V57" s="34" t="n"/>
      <c r="W57" s="34" t="n"/>
      <c r="X57" s="34" t="n"/>
      <c r="Y57" s="34" t="n"/>
      <c r="Z57" s="34" t="n"/>
      <c r="AA57" s="35" t="n"/>
      <c r="AB57" s="36" t="n"/>
      <c r="AC57" s="36" t="n"/>
      <c r="AD57" s="37" t="n"/>
      <c r="AE57" s="36" t="n"/>
      <c r="AF57" s="38">
        <f>IF(A57="","",IF(AB57&lt;&gt;"","Closed",IF(X57&lt;&gt;"","With client",IF(L57&lt;&gt;"","Architect reviewed","Draft"))))</f>
        <v/>
      </c>
      <c r="AG57" s="39">
        <f>IF(A57="","",IF(AB57&lt;&gt;"","None",IF(X57&lt;&gt;"","Client",IF(L57&lt;&gt;"","Zero Trust Architect","Identity Architect"))))</f>
        <v/>
      </c>
      <c r="AH57" s="39">
        <f>IF(AB57="Accept and remediate","Remediation backlog (Jira story)",IF(AB57="Accept risk","Exception register (owner, expiry, compensating control)",IF(AB57="Defer","Status register (owner, risk, follow-on, target date)",IF(AB57="Reject","Record the rationale; close",""))))</f>
        <v/>
      </c>
      <c r="AI57" s="39" t="n"/>
    </row>
    <row r="58">
      <c r="A58" s="30" t="n"/>
      <c r="B58" s="30" t="n"/>
      <c r="C58" s="30" t="n"/>
      <c r="D58" s="30" t="n"/>
      <c r="E58" s="30" t="n"/>
      <c r="F58" s="30" t="n"/>
      <c r="G58" s="30" t="n"/>
      <c r="H58" s="30" t="n"/>
      <c r="I58" s="30" t="n"/>
      <c r="J58" s="30" t="n"/>
      <c r="K58" s="31" t="n"/>
      <c r="L58" s="32" t="n"/>
      <c r="M58" s="32" t="n"/>
      <c r="N58" s="32" t="n"/>
      <c r="O58" s="32" t="n"/>
      <c r="P58" s="32" t="n"/>
      <c r="Q58" s="32" t="n"/>
      <c r="R58" s="32" t="n"/>
      <c r="S58" s="33" t="n"/>
      <c r="T58" s="34" t="n"/>
      <c r="U58" s="34" t="n"/>
      <c r="V58" s="34" t="n"/>
      <c r="W58" s="34" t="n"/>
      <c r="X58" s="34" t="n"/>
      <c r="Y58" s="34" t="n"/>
      <c r="Z58" s="34" t="n"/>
      <c r="AA58" s="35" t="n"/>
      <c r="AB58" s="36" t="n"/>
      <c r="AC58" s="36" t="n"/>
      <c r="AD58" s="37" t="n"/>
      <c r="AE58" s="36" t="n"/>
      <c r="AF58" s="38">
        <f>IF(A58="","",IF(AB58&lt;&gt;"","Closed",IF(X58&lt;&gt;"","With client",IF(L58&lt;&gt;"","Architect reviewed","Draft"))))</f>
        <v/>
      </c>
      <c r="AG58" s="39">
        <f>IF(A58="","",IF(AB58&lt;&gt;"","None",IF(X58&lt;&gt;"","Client",IF(L58&lt;&gt;"","Zero Trust Architect","Identity Architect"))))</f>
        <v/>
      </c>
      <c r="AH58" s="39">
        <f>IF(AB58="Accept and remediate","Remediation backlog (Jira story)",IF(AB58="Accept risk","Exception register (owner, expiry, compensating control)",IF(AB58="Defer","Status register (owner, risk, follow-on, target date)",IF(AB58="Reject","Record the rationale; close",""))))</f>
        <v/>
      </c>
      <c r="AI58" s="39" t="n"/>
    </row>
    <row r="59">
      <c r="A59" s="30" t="n"/>
      <c r="B59" s="30" t="n"/>
      <c r="C59" s="30" t="n"/>
      <c r="D59" s="30" t="n"/>
      <c r="E59" s="30" t="n"/>
      <c r="F59" s="30" t="n"/>
      <c r="G59" s="30" t="n"/>
      <c r="H59" s="30" t="n"/>
      <c r="I59" s="30" t="n"/>
      <c r="J59" s="30" t="n"/>
      <c r="K59" s="31" t="n"/>
      <c r="L59" s="32" t="n"/>
      <c r="M59" s="32" t="n"/>
      <c r="N59" s="32" t="n"/>
      <c r="O59" s="32" t="n"/>
      <c r="P59" s="32" t="n"/>
      <c r="Q59" s="32" t="n"/>
      <c r="R59" s="32" t="n"/>
      <c r="S59" s="33" t="n"/>
      <c r="T59" s="34" t="n"/>
      <c r="U59" s="34" t="n"/>
      <c r="V59" s="34" t="n"/>
      <c r="W59" s="34" t="n"/>
      <c r="X59" s="34" t="n"/>
      <c r="Y59" s="34" t="n"/>
      <c r="Z59" s="34" t="n"/>
      <c r="AA59" s="35" t="n"/>
      <c r="AB59" s="36" t="n"/>
      <c r="AC59" s="36" t="n"/>
      <c r="AD59" s="37" t="n"/>
      <c r="AE59" s="36" t="n"/>
      <c r="AF59" s="38">
        <f>IF(A59="","",IF(AB59&lt;&gt;"","Closed",IF(X59&lt;&gt;"","With client",IF(L59&lt;&gt;"","Architect reviewed","Draft"))))</f>
        <v/>
      </c>
      <c r="AG59" s="39">
        <f>IF(A59="","",IF(AB59&lt;&gt;"","None",IF(X59&lt;&gt;"","Client",IF(L59&lt;&gt;"","Zero Trust Architect","Identity Architect"))))</f>
        <v/>
      </c>
      <c r="AH59" s="39">
        <f>IF(AB59="Accept and remediate","Remediation backlog (Jira story)",IF(AB59="Accept risk","Exception register (owner, expiry, compensating control)",IF(AB59="Defer","Status register (owner, risk, follow-on, target date)",IF(AB59="Reject","Record the rationale; close",""))))</f>
        <v/>
      </c>
      <c r="AI59" s="39" t="n"/>
    </row>
    <row r="60">
      <c r="A60" s="30" t="n"/>
      <c r="B60" s="30" t="n"/>
      <c r="C60" s="30" t="n"/>
      <c r="D60" s="30" t="n"/>
      <c r="E60" s="30" t="n"/>
      <c r="F60" s="30" t="n"/>
      <c r="G60" s="30" t="n"/>
      <c r="H60" s="30" t="n"/>
      <c r="I60" s="30" t="n"/>
      <c r="J60" s="30" t="n"/>
      <c r="K60" s="31" t="n"/>
      <c r="L60" s="32" t="n"/>
      <c r="M60" s="32" t="n"/>
      <c r="N60" s="32" t="n"/>
      <c r="O60" s="32" t="n"/>
      <c r="P60" s="32" t="n"/>
      <c r="Q60" s="32" t="n"/>
      <c r="R60" s="32" t="n"/>
      <c r="S60" s="33" t="n"/>
      <c r="T60" s="34" t="n"/>
      <c r="U60" s="34" t="n"/>
      <c r="V60" s="34" t="n"/>
      <c r="W60" s="34" t="n"/>
      <c r="X60" s="34" t="n"/>
      <c r="Y60" s="34" t="n"/>
      <c r="Z60" s="34" t="n"/>
      <c r="AA60" s="35" t="n"/>
      <c r="AB60" s="36" t="n"/>
      <c r="AC60" s="36" t="n"/>
      <c r="AD60" s="37" t="n"/>
      <c r="AE60" s="36" t="n"/>
      <c r="AF60" s="38">
        <f>IF(A60="","",IF(AB60&lt;&gt;"","Closed",IF(X60&lt;&gt;"","With client",IF(L60&lt;&gt;"","Architect reviewed","Draft"))))</f>
        <v/>
      </c>
      <c r="AG60" s="39">
        <f>IF(A60="","",IF(AB60&lt;&gt;"","None",IF(X60&lt;&gt;"","Client",IF(L60&lt;&gt;"","Zero Trust Architect","Identity Architect"))))</f>
        <v/>
      </c>
      <c r="AH60" s="39">
        <f>IF(AB60="Accept and remediate","Remediation backlog (Jira story)",IF(AB60="Accept risk","Exception register (owner, expiry, compensating control)",IF(AB60="Defer","Status register (owner, risk, follow-on, target date)",IF(AB60="Reject","Record the rationale; close",""))))</f>
        <v/>
      </c>
      <c r="AI60" s="39" t="n"/>
    </row>
    <row r="61">
      <c r="A61" s="30" t="n"/>
      <c r="B61" s="30" t="n"/>
      <c r="C61" s="30" t="n"/>
      <c r="D61" s="30" t="n"/>
      <c r="E61" s="30" t="n"/>
      <c r="F61" s="30" t="n"/>
      <c r="G61" s="30" t="n"/>
      <c r="H61" s="30" t="n"/>
      <c r="I61" s="30" t="n"/>
      <c r="J61" s="30" t="n"/>
      <c r="K61" s="31" t="n"/>
      <c r="L61" s="32" t="n"/>
      <c r="M61" s="32" t="n"/>
      <c r="N61" s="32" t="n"/>
      <c r="O61" s="32" t="n"/>
      <c r="P61" s="32" t="n"/>
      <c r="Q61" s="32" t="n"/>
      <c r="R61" s="32" t="n"/>
      <c r="S61" s="33" t="n"/>
      <c r="T61" s="34" t="n"/>
      <c r="U61" s="34" t="n"/>
      <c r="V61" s="34" t="n"/>
      <c r="W61" s="34" t="n"/>
      <c r="X61" s="34" t="n"/>
      <c r="Y61" s="34" t="n"/>
      <c r="Z61" s="34" t="n"/>
      <c r="AA61" s="35" t="n"/>
      <c r="AB61" s="36" t="n"/>
      <c r="AC61" s="36" t="n"/>
      <c r="AD61" s="37" t="n"/>
      <c r="AE61" s="36" t="n"/>
      <c r="AF61" s="38">
        <f>IF(A61="","",IF(AB61&lt;&gt;"","Closed",IF(X61&lt;&gt;"","With client",IF(L61&lt;&gt;"","Architect reviewed","Draft"))))</f>
        <v/>
      </c>
      <c r="AG61" s="39">
        <f>IF(A61="","",IF(AB61&lt;&gt;"","None",IF(X61&lt;&gt;"","Client",IF(L61&lt;&gt;"","Zero Trust Architect","Identity Architect"))))</f>
        <v/>
      </c>
      <c r="AH61" s="39">
        <f>IF(AB61="Accept and remediate","Remediation backlog (Jira story)",IF(AB61="Accept risk","Exception register (owner, expiry, compensating control)",IF(AB61="Defer","Status register (owner, risk, follow-on, target date)",IF(AB61="Reject","Record the rationale; close",""))))</f>
        <v/>
      </c>
      <c r="AI61" s="39" t="n"/>
    </row>
    <row r="62">
      <c r="A62" s="30" t="n"/>
      <c r="B62" s="30" t="n"/>
      <c r="C62" s="30" t="n"/>
      <c r="D62" s="30" t="n"/>
      <c r="E62" s="30" t="n"/>
      <c r="F62" s="30" t="n"/>
      <c r="G62" s="30" t="n"/>
      <c r="H62" s="30" t="n"/>
      <c r="I62" s="30" t="n"/>
      <c r="J62" s="30" t="n"/>
      <c r="K62" s="31" t="n"/>
      <c r="L62" s="32" t="n"/>
      <c r="M62" s="32" t="n"/>
      <c r="N62" s="32" t="n"/>
      <c r="O62" s="32" t="n"/>
      <c r="P62" s="32" t="n"/>
      <c r="Q62" s="32" t="n"/>
      <c r="R62" s="32" t="n"/>
      <c r="S62" s="33" t="n"/>
      <c r="T62" s="34" t="n"/>
      <c r="U62" s="34" t="n"/>
      <c r="V62" s="34" t="n"/>
      <c r="W62" s="34" t="n"/>
      <c r="X62" s="34" t="n"/>
      <c r="Y62" s="34" t="n"/>
      <c r="Z62" s="34" t="n"/>
      <c r="AA62" s="35" t="n"/>
      <c r="AB62" s="36" t="n"/>
      <c r="AC62" s="36" t="n"/>
      <c r="AD62" s="37" t="n"/>
      <c r="AE62" s="36" t="n"/>
      <c r="AF62" s="38">
        <f>IF(A62="","",IF(AB62&lt;&gt;"","Closed",IF(X62&lt;&gt;"","With client",IF(L62&lt;&gt;"","Architect reviewed","Draft"))))</f>
        <v/>
      </c>
      <c r="AG62" s="39">
        <f>IF(A62="","",IF(AB62&lt;&gt;"","None",IF(X62&lt;&gt;"","Client",IF(L62&lt;&gt;"","Zero Trust Architect","Identity Architect"))))</f>
        <v/>
      </c>
      <c r="AH62" s="39">
        <f>IF(AB62="Accept and remediate","Remediation backlog (Jira story)",IF(AB62="Accept risk","Exception register (owner, expiry, compensating control)",IF(AB62="Defer","Status register (owner, risk, follow-on, target date)",IF(AB62="Reject","Record the rationale; close",""))))</f>
        <v/>
      </c>
      <c r="AI62" s="39" t="n"/>
    </row>
    <row r="63">
      <c r="A63" s="30" t="n"/>
      <c r="B63" s="30" t="n"/>
      <c r="C63" s="30" t="n"/>
      <c r="D63" s="30" t="n"/>
      <c r="E63" s="30" t="n"/>
      <c r="F63" s="30" t="n"/>
      <c r="G63" s="30" t="n"/>
      <c r="H63" s="30" t="n"/>
      <c r="I63" s="30" t="n"/>
      <c r="J63" s="30" t="n"/>
      <c r="K63" s="31" t="n"/>
      <c r="L63" s="32" t="n"/>
      <c r="M63" s="32" t="n"/>
      <c r="N63" s="32" t="n"/>
      <c r="O63" s="32" t="n"/>
      <c r="P63" s="32" t="n"/>
      <c r="Q63" s="32" t="n"/>
      <c r="R63" s="32" t="n"/>
      <c r="S63" s="33" t="n"/>
      <c r="T63" s="34" t="n"/>
      <c r="U63" s="34" t="n"/>
      <c r="V63" s="34" t="n"/>
      <c r="W63" s="34" t="n"/>
      <c r="X63" s="34" t="n"/>
      <c r="Y63" s="34" t="n"/>
      <c r="Z63" s="34" t="n"/>
      <c r="AA63" s="35" t="n"/>
      <c r="AB63" s="36" t="n"/>
      <c r="AC63" s="36" t="n"/>
      <c r="AD63" s="37" t="n"/>
      <c r="AE63" s="36" t="n"/>
      <c r="AF63" s="38">
        <f>IF(A63="","",IF(AB63&lt;&gt;"","Closed",IF(X63&lt;&gt;"","With client",IF(L63&lt;&gt;"","Architect reviewed","Draft"))))</f>
        <v/>
      </c>
      <c r="AG63" s="39">
        <f>IF(A63="","",IF(AB63&lt;&gt;"","None",IF(X63&lt;&gt;"","Client",IF(L63&lt;&gt;"","Zero Trust Architect","Identity Architect"))))</f>
        <v/>
      </c>
      <c r="AH63" s="39">
        <f>IF(AB63="Accept and remediate","Remediation backlog (Jira story)",IF(AB63="Accept risk","Exception register (owner, expiry, compensating control)",IF(AB63="Defer","Status register (owner, risk, follow-on, target date)",IF(AB63="Reject","Record the rationale; close",""))))</f>
        <v/>
      </c>
      <c r="AI63" s="39" t="n"/>
    </row>
  </sheetData>
  <autoFilter ref="A2:AI63"/>
  <mergeCells count="5">
    <mergeCell ref="L1:S1"/>
    <mergeCell ref="T1:AA1"/>
    <mergeCell ref="AB1:AE1"/>
    <mergeCell ref="AF1:AI1"/>
    <mergeCell ref="A1:K1"/>
  </mergeCells>
  <conditionalFormatting sqref="F3:F63">
    <cfRule type="expression" priority="1" dxfId="0">
      <formula>F3="Critical"</formula>
    </cfRule>
    <cfRule type="expression" priority="2" dxfId="1">
      <formula>F3="High"</formula>
    </cfRule>
    <cfRule type="expression" priority="3" dxfId="2">
      <formula>F3="Medium"</formula>
    </cfRule>
    <cfRule type="expression" priority="4" dxfId="3">
      <formula>F3="Low"</formula>
    </cfRule>
  </conditionalFormatting>
  <conditionalFormatting sqref="L3:L63">
    <cfRule type="expression" priority="5" dxfId="0">
      <formula>L3="Critical"</formula>
    </cfRule>
    <cfRule type="expression" priority="6" dxfId="1">
      <formula>L3="High"</formula>
    </cfRule>
    <cfRule type="expression" priority="7" dxfId="2">
      <formula>L3="Medium"</formula>
    </cfRule>
    <cfRule type="expression" priority="8" dxfId="3">
      <formula>L3="Low"</formula>
    </cfRule>
  </conditionalFormatting>
  <conditionalFormatting sqref="AF3:AF63">
    <cfRule type="expression" priority="9" dxfId="4">
      <formula>AF3="Closed"</formula>
    </cfRule>
    <cfRule type="expression" priority="10" dxfId="5">
      <formula>AF3="With client"</formula>
    </cfRule>
    <cfRule type="expression" priority="11" dxfId="6">
      <formula>AF3="Architect reviewed"</formula>
    </cfRule>
    <cfRule type="expression" priority="12" dxfId="7">
      <formula>AF3="Draft"</formula>
    </cfRule>
  </conditionalFormatting>
  <dataValidations count="14">
    <dataValidation sqref="F3:F63" showDropDown="0" showInputMessage="0" showErrorMessage="0" allowBlank="1" errorTitle="Review trail" error="Pick a value from the list" type="list">
      <formula1>=Lists!$A$2:$A$5</formula1>
    </dataValidation>
    <dataValidation sqref="L3:L63" showDropDown="0" showInputMessage="0" showErrorMessage="0" allowBlank="1" errorTitle="Review trail" error="Pick a value from the list" type="list">
      <formula1>=Lists!$A$2:$A$5</formula1>
    </dataValidation>
    <dataValidation sqref="O3:O63" showDropDown="0" showInputMessage="0" showErrorMessage="0" allowBlank="1" errorTitle="Review trail" error="Pick a value from the list" type="list">
      <formula1>=Lists!$B$2:$B$5</formula1>
    </dataValidation>
    <dataValidation sqref="Q3:Q63" showDropDown="0" showInputMessage="0" showErrorMessage="0" allowBlank="1" errorTitle="Review trail" error="Pick a value from the list" type="list">
      <formula1>=Lists!$C$2:$C$8</formula1>
    </dataValidation>
    <dataValidation sqref="T3:T63" showDropDown="0" showInputMessage="0" showErrorMessage="0" allowBlank="1" errorTitle="Review trail" error="Pick a value from the list" type="list">
      <formula1>=Lists!$D$2:$D$9</formula1>
    </dataValidation>
    <dataValidation sqref="U3:U63" showDropDown="0" showInputMessage="0" showErrorMessage="0" allowBlank="1" errorTitle="Review trail" error="Pick a value from the list" type="list">
      <formula1>=Lists!$E$2:$E$4</formula1>
    </dataValidation>
    <dataValidation sqref="V3:V63" showDropDown="0" showInputMessage="0" showErrorMessage="0" allowBlank="1" errorTitle="Review trail" error="Pick a value from the list" type="list">
      <formula1>=Lists!$F$2:$F$5</formula1>
    </dataValidation>
    <dataValidation sqref="W3:W63" showDropDown="0" showInputMessage="0" showErrorMessage="0" allowBlank="1" errorTitle="Review trail" error="Pick a value from the list" type="list">
      <formula1>=Lists!$F$2:$F$5</formula1>
    </dataValidation>
    <dataValidation sqref="X3:X63" showDropDown="0" showInputMessage="0" showErrorMessage="0" allowBlank="1" errorTitle="Review trail" error="Pick a value from the list" type="list">
      <formula1>=Lists!$G$2:$G$4</formula1>
    </dataValidation>
    <dataValidation sqref="AB3:AB63" showDropDown="0" showInputMessage="0" showErrorMessage="0" allowBlank="1" errorTitle="Review trail" error="Pick a value from the list" type="list">
      <formula1>=Lists!$H$2:$H$5</formula1>
    </dataValidation>
    <dataValidation sqref="K3:K63" showDropDown="0" showInputMessage="0" showErrorMessage="0" allowBlank="1" error="Enter a date" type="date" operator="greaterThan">
      <formula1>DATE(2020,1,1)</formula1>
    </dataValidation>
    <dataValidation sqref="S3:S63" showDropDown="0" showInputMessage="0" showErrorMessage="0" allowBlank="1" error="Enter a date" type="date" operator="greaterThan">
      <formula1>DATE(2020,1,1)</formula1>
    </dataValidation>
    <dataValidation sqref="AA3:AA63" showDropDown="0" showInputMessage="0" showErrorMessage="0" allowBlank="1" error="Enter a date" type="date" operator="greaterThan">
      <formula1>DATE(2020,1,1)</formula1>
    </dataValidation>
    <dataValidation sqref="AD3:AD63" showDropDown="0" showInputMessage="0" showErrorMessage="0" allowBlank="1" error="Enter a date" type="date" operator="greaterThan">
      <formula1>DATE(2020,1,1)</formula1>
    </dataValidation>
  </dataValidations>
  <pageMargins left="0.75" right="0.75" top="1" bottom="1" header="0.5" footer="0.5"/>
  <pageSetup orientation="landscape" paperSize="3"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N43"/>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34" customWidth="1" min="3" max="3"/>
    <col width="16" customWidth="1" min="4" max="4"/>
    <col width="30" customWidth="1" min="5" max="5"/>
    <col width="30" customWidth="1" min="6" max="6"/>
    <col width="30" customWidth="1" min="7" max="7"/>
    <col width="10" customWidth="1" min="8" max="8"/>
    <col width="16" customWidth="1" min="9" max="9"/>
    <col width="26" customWidth="1" min="10" max="10"/>
    <col width="18" customWidth="1" min="11" max="11"/>
    <col width="12" customWidth="1" min="12" max="12"/>
    <col width="34" customWidth="1" min="13" max="13"/>
    <col width="12" customWidth="1" min="14" max="14"/>
  </cols>
  <sheetData>
    <row r="1" ht="22" customHeight="1">
      <c r="A1" s="40" t="inlineStr">
        <is>
          <t>Gap register  (control, capability, evidence, coverage and decision gaps; findings stay on the Review Trail)</t>
        </is>
      </c>
    </row>
    <row r="2" ht="30" customHeight="1">
      <c r="A2" s="41" t="inlineStr">
        <is>
          <t>ID</t>
        </is>
      </c>
      <c r="B2" s="41" t="inlineStr">
        <is>
          <t>Type</t>
        </is>
      </c>
      <c r="C2" s="41" t="inlineStr">
        <is>
          <t>Gap</t>
        </is>
      </c>
      <c r="D2" s="41" t="inlineStr">
        <is>
          <t>Area</t>
        </is>
      </c>
      <c r="E2" s="41" t="inlineStr">
        <is>
          <t>Current state</t>
        </is>
      </c>
      <c r="F2" s="41" t="inlineStr">
        <is>
          <t>Target state</t>
        </is>
      </c>
      <c r="G2" s="41" t="inlineStr">
        <is>
          <t>Impact</t>
        </is>
      </c>
      <c r="H2" s="41" t="inlineStr">
        <is>
          <t>Priority</t>
        </is>
      </c>
      <c r="I2" s="41" t="inlineStr">
        <is>
          <t>Related findings</t>
        </is>
      </c>
      <c r="J2" s="41" t="inlineStr">
        <is>
          <t>Source</t>
        </is>
      </c>
      <c r="K2" s="41" t="inlineStr">
        <is>
          <t>Owner</t>
        </is>
      </c>
      <c r="L2" s="41" t="inlineStr">
        <is>
          <t>Status</t>
        </is>
      </c>
      <c r="M2" s="41" t="inlineStr">
        <is>
          <t>Next step</t>
        </is>
      </c>
      <c r="N2" s="41" t="inlineStr">
        <is>
          <t>Raised</t>
        </is>
      </c>
    </row>
    <row r="3">
      <c r="A3" s="42" t="n"/>
      <c r="B3" s="42" t="n"/>
      <c r="C3" s="42" t="n"/>
      <c r="D3" s="42" t="n"/>
      <c r="E3" s="42" t="n"/>
      <c r="F3" s="42" t="n"/>
      <c r="G3" s="42" t="n"/>
      <c r="H3" s="42" t="n"/>
      <c r="I3" s="42" t="n"/>
      <c r="J3" s="42" t="n"/>
      <c r="K3" s="42" t="n"/>
      <c r="L3" s="42" t="n"/>
      <c r="M3" s="42" t="n"/>
      <c r="N3" s="42" t="n"/>
    </row>
    <row r="4">
      <c r="A4" s="42" t="n"/>
      <c r="B4" s="42" t="n"/>
      <c r="C4" s="42" t="n"/>
      <c r="D4" s="42" t="n"/>
      <c r="E4" s="42" t="n"/>
      <c r="F4" s="42" t="n"/>
      <c r="G4" s="42" t="n"/>
      <c r="H4" s="42" t="n"/>
      <c r="I4" s="42" t="n"/>
      <c r="J4" s="42" t="n"/>
      <c r="K4" s="42" t="n"/>
      <c r="L4" s="42" t="n"/>
      <c r="M4" s="42" t="n"/>
      <c r="N4" s="42" t="n"/>
    </row>
    <row r="5">
      <c r="A5" s="42" t="n"/>
      <c r="B5" s="42" t="n"/>
      <c r="C5" s="42" t="n"/>
      <c r="D5" s="42" t="n"/>
      <c r="E5" s="42" t="n"/>
      <c r="F5" s="42" t="n"/>
      <c r="G5" s="42" t="n"/>
      <c r="H5" s="42" t="n"/>
      <c r="I5" s="42" t="n"/>
      <c r="J5" s="42" t="n"/>
      <c r="K5" s="42" t="n"/>
      <c r="L5" s="42" t="n"/>
      <c r="M5" s="42" t="n"/>
      <c r="N5" s="42" t="n"/>
    </row>
    <row r="6">
      <c r="A6" s="42" t="n"/>
      <c r="B6" s="42" t="n"/>
      <c r="C6" s="42" t="n"/>
      <c r="D6" s="42" t="n"/>
      <c r="E6" s="42" t="n"/>
      <c r="F6" s="42" t="n"/>
      <c r="G6" s="42" t="n"/>
      <c r="H6" s="42" t="n"/>
      <c r="I6" s="42" t="n"/>
      <c r="J6" s="42" t="n"/>
      <c r="K6" s="42" t="n"/>
      <c r="L6" s="42" t="n"/>
      <c r="M6" s="42" t="n"/>
      <c r="N6" s="42" t="n"/>
    </row>
    <row r="7">
      <c r="A7" s="42" t="n"/>
      <c r="B7" s="42" t="n"/>
      <c r="C7" s="42" t="n"/>
      <c r="D7" s="42" t="n"/>
      <c r="E7" s="42" t="n"/>
      <c r="F7" s="42" t="n"/>
      <c r="G7" s="42" t="n"/>
      <c r="H7" s="42" t="n"/>
      <c r="I7" s="42" t="n"/>
      <c r="J7" s="42" t="n"/>
      <c r="K7" s="42" t="n"/>
      <c r="L7" s="42" t="n"/>
      <c r="M7" s="42" t="n"/>
      <c r="N7" s="42" t="n"/>
    </row>
    <row r="8">
      <c r="A8" s="42" t="n"/>
      <c r="B8" s="42" t="n"/>
      <c r="C8" s="42" t="n"/>
      <c r="D8" s="42" t="n"/>
      <c r="E8" s="42" t="n"/>
      <c r="F8" s="42" t="n"/>
      <c r="G8" s="42" t="n"/>
      <c r="H8" s="42" t="n"/>
      <c r="I8" s="42" t="n"/>
      <c r="J8" s="42" t="n"/>
      <c r="K8" s="42" t="n"/>
      <c r="L8" s="42" t="n"/>
      <c r="M8" s="42" t="n"/>
      <c r="N8" s="42" t="n"/>
    </row>
    <row r="9">
      <c r="A9" s="42" t="n"/>
      <c r="B9" s="42" t="n"/>
      <c r="C9" s="42" t="n"/>
      <c r="D9" s="42" t="n"/>
      <c r="E9" s="42" t="n"/>
      <c r="F9" s="42" t="n"/>
      <c r="G9" s="42" t="n"/>
      <c r="H9" s="42" t="n"/>
      <c r="I9" s="42" t="n"/>
      <c r="J9" s="42" t="n"/>
      <c r="K9" s="42" t="n"/>
      <c r="L9" s="42" t="n"/>
      <c r="M9" s="42" t="n"/>
      <c r="N9" s="42" t="n"/>
    </row>
    <row r="10">
      <c r="A10" s="42" t="n"/>
      <c r="B10" s="42" t="n"/>
      <c r="C10" s="42" t="n"/>
      <c r="D10" s="42" t="n"/>
      <c r="E10" s="42" t="n"/>
      <c r="F10" s="42" t="n"/>
      <c r="G10" s="42" t="n"/>
      <c r="H10" s="42" t="n"/>
      <c r="I10" s="42" t="n"/>
      <c r="J10" s="42" t="n"/>
      <c r="K10" s="42" t="n"/>
      <c r="L10" s="42" t="n"/>
      <c r="M10" s="42" t="n"/>
      <c r="N10" s="42" t="n"/>
    </row>
    <row r="11">
      <c r="A11" s="42" t="n"/>
      <c r="B11" s="42" t="n"/>
      <c r="C11" s="42" t="n"/>
      <c r="D11" s="42" t="n"/>
      <c r="E11" s="42" t="n"/>
      <c r="F11" s="42" t="n"/>
      <c r="G11" s="42" t="n"/>
      <c r="H11" s="42" t="n"/>
      <c r="I11" s="42" t="n"/>
      <c r="J11" s="42" t="n"/>
      <c r="K11" s="42" t="n"/>
      <c r="L11" s="42" t="n"/>
      <c r="M11" s="42" t="n"/>
      <c r="N11" s="42" t="n"/>
    </row>
    <row r="12">
      <c r="A12" s="42" t="n"/>
      <c r="B12" s="42" t="n"/>
      <c r="C12" s="42" t="n"/>
      <c r="D12" s="42" t="n"/>
      <c r="E12" s="42" t="n"/>
      <c r="F12" s="42" t="n"/>
      <c r="G12" s="42" t="n"/>
      <c r="H12" s="42" t="n"/>
      <c r="I12" s="42" t="n"/>
      <c r="J12" s="42" t="n"/>
      <c r="K12" s="42" t="n"/>
      <c r="L12" s="42" t="n"/>
      <c r="M12" s="42" t="n"/>
      <c r="N12" s="42" t="n"/>
    </row>
    <row r="13">
      <c r="A13" s="42" t="n"/>
      <c r="B13" s="42" t="n"/>
      <c r="C13" s="42" t="n"/>
      <c r="D13" s="42" t="n"/>
      <c r="E13" s="42" t="n"/>
      <c r="F13" s="42" t="n"/>
      <c r="G13" s="42" t="n"/>
      <c r="H13" s="42" t="n"/>
      <c r="I13" s="42" t="n"/>
      <c r="J13" s="42" t="n"/>
      <c r="K13" s="42" t="n"/>
      <c r="L13" s="42" t="n"/>
      <c r="M13" s="42" t="n"/>
      <c r="N13" s="42" t="n"/>
    </row>
    <row r="14">
      <c r="A14" s="42" t="n"/>
      <c r="B14" s="42" t="n"/>
      <c r="C14" s="42" t="n"/>
      <c r="D14" s="42" t="n"/>
      <c r="E14" s="42" t="n"/>
      <c r="F14" s="42" t="n"/>
      <c r="G14" s="42" t="n"/>
      <c r="H14" s="42" t="n"/>
      <c r="I14" s="42" t="n"/>
      <c r="J14" s="42" t="n"/>
      <c r="K14" s="42" t="n"/>
      <c r="L14" s="42" t="n"/>
      <c r="M14" s="42" t="n"/>
      <c r="N14" s="42" t="n"/>
    </row>
    <row r="15">
      <c r="A15" s="42" t="n"/>
      <c r="B15" s="42" t="n"/>
      <c r="C15" s="42" t="n"/>
      <c r="D15" s="42" t="n"/>
      <c r="E15" s="42" t="n"/>
      <c r="F15" s="42" t="n"/>
      <c r="G15" s="42" t="n"/>
      <c r="H15" s="42" t="n"/>
      <c r="I15" s="42" t="n"/>
      <c r="J15" s="42" t="n"/>
      <c r="K15" s="42" t="n"/>
      <c r="L15" s="42" t="n"/>
      <c r="M15" s="42" t="n"/>
      <c r="N15" s="42" t="n"/>
    </row>
    <row r="16">
      <c r="A16" s="42" t="n"/>
      <c r="B16" s="42" t="n"/>
      <c r="C16" s="42" t="n"/>
      <c r="D16" s="42" t="n"/>
      <c r="E16" s="42" t="n"/>
      <c r="F16" s="42" t="n"/>
      <c r="G16" s="42" t="n"/>
      <c r="H16" s="42" t="n"/>
      <c r="I16" s="42" t="n"/>
      <c r="J16" s="42" t="n"/>
      <c r="K16" s="42" t="n"/>
      <c r="L16" s="42" t="n"/>
      <c r="M16" s="42" t="n"/>
      <c r="N16" s="42" t="n"/>
    </row>
    <row r="17">
      <c r="A17" s="42" t="n"/>
      <c r="B17" s="42" t="n"/>
      <c r="C17" s="42" t="n"/>
      <c r="D17" s="42" t="n"/>
      <c r="E17" s="42" t="n"/>
      <c r="F17" s="42" t="n"/>
      <c r="G17" s="42" t="n"/>
      <c r="H17" s="42" t="n"/>
      <c r="I17" s="42" t="n"/>
      <c r="J17" s="42" t="n"/>
      <c r="K17" s="42" t="n"/>
      <c r="L17" s="42" t="n"/>
      <c r="M17" s="42" t="n"/>
      <c r="N17" s="42" t="n"/>
    </row>
    <row r="18">
      <c r="A18" s="42" t="n"/>
      <c r="B18" s="42" t="n"/>
      <c r="C18" s="42" t="n"/>
      <c r="D18" s="42" t="n"/>
      <c r="E18" s="42" t="n"/>
      <c r="F18" s="42" t="n"/>
      <c r="G18" s="42" t="n"/>
      <c r="H18" s="42" t="n"/>
      <c r="I18" s="42" t="n"/>
      <c r="J18" s="42" t="n"/>
      <c r="K18" s="42" t="n"/>
      <c r="L18" s="42" t="n"/>
      <c r="M18" s="42" t="n"/>
      <c r="N18" s="42" t="n"/>
    </row>
    <row r="19">
      <c r="A19" s="42" t="n"/>
      <c r="B19" s="42" t="n"/>
      <c r="C19" s="42" t="n"/>
      <c r="D19" s="42" t="n"/>
      <c r="E19" s="42" t="n"/>
      <c r="F19" s="42" t="n"/>
      <c r="G19" s="42" t="n"/>
      <c r="H19" s="42" t="n"/>
      <c r="I19" s="42" t="n"/>
      <c r="J19" s="42" t="n"/>
      <c r="K19" s="42" t="n"/>
      <c r="L19" s="42" t="n"/>
      <c r="M19" s="42" t="n"/>
      <c r="N19" s="42" t="n"/>
    </row>
    <row r="20">
      <c r="A20" s="42" t="n"/>
      <c r="B20" s="42" t="n"/>
      <c r="C20" s="42" t="n"/>
      <c r="D20" s="42" t="n"/>
      <c r="E20" s="42" t="n"/>
      <c r="F20" s="42" t="n"/>
      <c r="G20" s="42" t="n"/>
      <c r="H20" s="42" t="n"/>
      <c r="I20" s="42" t="n"/>
      <c r="J20" s="42" t="n"/>
      <c r="K20" s="42" t="n"/>
      <c r="L20" s="42" t="n"/>
      <c r="M20" s="42" t="n"/>
      <c r="N20" s="42" t="n"/>
    </row>
    <row r="21">
      <c r="A21" s="42" t="n"/>
      <c r="B21" s="42" t="n"/>
      <c r="C21" s="42" t="n"/>
      <c r="D21" s="42" t="n"/>
      <c r="E21" s="42" t="n"/>
      <c r="F21" s="42" t="n"/>
      <c r="G21" s="42" t="n"/>
      <c r="H21" s="42" t="n"/>
      <c r="I21" s="42" t="n"/>
      <c r="J21" s="42" t="n"/>
      <c r="K21" s="42" t="n"/>
      <c r="L21" s="42" t="n"/>
      <c r="M21" s="42" t="n"/>
      <c r="N21" s="42" t="n"/>
    </row>
    <row r="22">
      <c r="A22" s="42" t="n"/>
      <c r="B22" s="42" t="n"/>
      <c r="C22" s="42" t="n"/>
      <c r="D22" s="42" t="n"/>
      <c r="E22" s="42" t="n"/>
      <c r="F22" s="42" t="n"/>
      <c r="G22" s="42" t="n"/>
      <c r="H22" s="42" t="n"/>
      <c r="I22" s="42" t="n"/>
      <c r="J22" s="42" t="n"/>
      <c r="K22" s="42" t="n"/>
      <c r="L22" s="42" t="n"/>
      <c r="M22" s="42" t="n"/>
      <c r="N22" s="42" t="n"/>
    </row>
    <row r="23">
      <c r="A23" s="42" t="n"/>
      <c r="B23" s="42" t="n"/>
      <c r="C23" s="42" t="n"/>
      <c r="D23" s="42" t="n"/>
      <c r="E23" s="42" t="n"/>
      <c r="F23" s="42" t="n"/>
      <c r="G23" s="42" t="n"/>
      <c r="H23" s="42" t="n"/>
      <c r="I23" s="42" t="n"/>
      <c r="J23" s="42" t="n"/>
      <c r="K23" s="42" t="n"/>
      <c r="L23" s="42" t="n"/>
      <c r="M23" s="42" t="n"/>
      <c r="N23" s="42" t="n"/>
    </row>
    <row r="24">
      <c r="A24" s="42" t="n"/>
      <c r="B24" s="42" t="n"/>
      <c r="C24" s="42" t="n"/>
      <c r="D24" s="42" t="n"/>
      <c r="E24" s="42" t="n"/>
      <c r="F24" s="42" t="n"/>
      <c r="G24" s="42" t="n"/>
      <c r="H24" s="42" t="n"/>
      <c r="I24" s="42" t="n"/>
      <c r="J24" s="42" t="n"/>
      <c r="K24" s="42" t="n"/>
      <c r="L24" s="42" t="n"/>
      <c r="M24" s="42" t="n"/>
      <c r="N24" s="42" t="n"/>
    </row>
    <row r="25">
      <c r="A25" s="42" t="n"/>
      <c r="B25" s="42" t="n"/>
      <c r="C25" s="42" t="n"/>
      <c r="D25" s="42" t="n"/>
      <c r="E25" s="42" t="n"/>
      <c r="F25" s="42" t="n"/>
      <c r="G25" s="42" t="n"/>
      <c r="H25" s="42" t="n"/>
      <c r="I25" s="42" t="n"/>
      <c r="J25" s="42" t="n"/>
      <c r="K25" s="42" t="n"/>
      <c r="L25" s="42" t="n"/>
      <c r="M25" s="42" t="n"/>
      <c r="N25" s="42" t="n"/>
    </row>
    <row r="26">
      <c r="A26" s="42" t="n"/>
      <c r="B26" s="42" t="n"/>
      <c r="C26" s="42" t="n"/>
      <c r="D26" s="42" t="n"/>
      <c r="E26" s="42" t="n"/>
      <c r="F26" s="42" t="n"/>
      <c r="G26" s="42" t="n"/>
      <c r="H26" s="42" t="n"/>
      <c r="I26" s="42" t="n"/>
      <c r="J26" s="42" t="n"/>
      <c r="K26" s="42" t="n"/>
      <c r="L26" s="42" t="n"/>
      <c r="M26" s="42" t="n"/>
      <c r="N26" s="42" t="n"/>
    </row>
    <row r="27">
      <c r="A27" s="42" t="n"/>
      <c r="B27" s="42" t="n"/>
      <c r="C27" s="42" t="n"/>
      <c r="D27" s="42" t="n"/>
      <c r="E27" s="42" t="n"/>
      <c r="F27" s="42" t="n"/>
      <c r="G27" s="42" t="n"/>
      <c r="H27" s="42" t="n"/>
      <c r="I27" s="42" t="n"/>
      <c r="J27" s="42" t="n"/>
      <c r="K27" s="42" t="n"/>
      <c r="L27" s="42" t="n"/>
      <c r="M27" s="42" t="n"/>
      <c r="N27" s="42" t="n"/>
    </row>
    <row r="28">
      <c r="A28" s="42" t="n"/>
      <c r="B28" s="42" t="n"/>
      <c r="C28" s="42" t="n"/>
      <c r="D28" s="42" t="n"/>
      <c r="E28" s="42" t="n"/>
      <c r="F28" s="42" t="n"/>
      <c r="G28" s="42" t="n"/>
      <c r="H28" s="42" t="n"/>
      <c r="I28" s="42" t="n"/>
      <c r="J28" s="42" t="n"/>
      <c r="K28" s="42" t="n"/>
      <c r="L28" s="42" t="n"/>
      <c r="M28" s="42" t="n"/>
      <c r="N28" s="42" t="n"/>
    </row>
    <row r="29">
      <c r="A29" s="42" t="n"/>
      <c r="B29" s="42" t="n"/>
      <c r="C29" s="42" t="n"/>
      <c r="D29" s="42" t="n"/>
      <c r="E29" s="42" t="n"/>
      <c r="F29" s="42" t="n"/>
      <c r="G29" s="42" t="n"/>
      <c r="H29" s="42" t="n"/>
      <c r="I29" s="42" t="n"/>
      <c r="J29" s="42" t="n"/>
      <c r="K29" s="42" t="n"/>
      <c r="L29" s="42" t="n"/>
      <c r="M29" s="42" t="n"/>
      <c r="N29" s="42" t="n"/>
    </row>
    <row r="30">
      <c r="A30" s="42" t="n"/>
      <c r="B30" s="42" t="n"/>
      <c r="C30" s="42" t="n"/>
      <c r="D30" s="42" t="n"/>
      <c r="E30" s="42" t="n"/>
      <c r="F30" s="42" t="n"/>
      <c r="G30" s="42" t="n"/>
      <c r="H30" s="42" t="n"/>
      <c r="I30" s="42" t="n"/>
      <c r="J30" s="42" t="n"/>
      <c r="K30" s="42" t="n"/>
      <c r="L30" s="42" t="n"/>
      <c r="M30" s="42" t="n"/>
      <c r="N30" s="42" t="n"/>
    </row>
    <row r="31">
      <c r="A31" s="42" t="n"/>
      <c r="B31" s="42" t="n"/>
      <c r="C31" s="42" t="n"/>
      <c r="D31" s="42" t="n"/>
      <c r="E31" s="42" t="n"/>
      <c r="F31" s="42" t="n"/>
      <c r="G31" s="42" t="n"/>
      <c r="H31" s="42" t="n"/>
      <c r="I31" s="42" t="n"/>
      <c r="J31" s="42" t="n"/>
      <c r="K31" s="42" t="n"/>
      <c r="L31" s="42" t="n"/>
      <c r="M31" s="42" t="n"/>
      <c r="N31" s="42" t="n"/>
    </row>
    <row r="32">
      <c r="A32" s="42" t="n"/>
      <c r="B32" s="42" t="n"/>
      <c r="C32" s="42" t="n"/>
      <c r="D32" s="42" t="n"/>
      <c r="E32" s="42" t="n"/>
      <c r="F32" s="42" t="n"/>
      <c r="G32" s="42" t="n"/>
      <c r="H32" s="42" t="n"/>
      <c r="I32" s="42" t="n"/>
      <c r="J32" s="42" t="n"/>
      <c r="K32" s="42" t="n"/>
      <c r="L32" s="42" t="n"/>
      <c r="M32" s="42" t="n"/>
      <c r="N32" s="42" t="n"/>
    </row>
    <row r="33">
      <c r="A33" s="42" t="n"/>
      <c r="B33" s="42" t="n"/>
      <c r="C33" s="42" t="n"/>
      <c r="D33" s="42" t="n"/>
      <c r="E33" s="42" t="n"/>
      <c r="F33" s="42" t="n"/>
      <c r="G33" s="42" t="n"/>
      <c r="H33" s="42" t="n"/>
      <c r="I33" s="42" t="n"/>
      <c r="J33" s="42" t="n"/>
      <c r="K33" s="42" t="n"/>
      <c r="L33" s="42" t="n"/>
      <c r="M33" s="42" t="n"/>
      <c r="N33" s="42" t="n"/>
    </row>
    <row r="34">
      <c r="A34" s="42" t="n"/>
      <c r="B34" s="42" t="n"/>
      <c r="C34" s="42" t="n"/>
      <c r="D34" s="42" t="n"/>
      <c r="E34" s="42" t="n"/>
      <c r="F34" s="42" t="n"/>
      <c r="G34" s="42" t="n"/>
      <c r="H34" s="42" t="n"/>
      <c r="I34" s="42" t="n"/>
      <c r="J34" s="42" t="n"/>
      <c r="K34" s="42" t="n"/>
      <c r="L34" s="42" t="n"/>
      <c r="M34" s="42" t="n"/>
      <c r="N34" s="42" t="n"/>
    </row>
    <row r="35">
      <c r="A35" s="42" t="n"/>
      <c r="B35" s="42" t="n"/>
      <c r="C35" s="42" t="n"/>
      <c r="D35" s="42" t="n"/>
      <c r="E35" s="42" t="n"/>
      <c r="F35" s="42" t="n"/>
      <c r="G35" s="42" t="n"/>
      <c r="H35" s="42" t="n"/>
      <c r="I35" s="42" t="n"/>
      <c r="J35" s="42" t="n"/>
      <c r="K35" s="42" t="n"/>
      <c r="L35" s="42" t="n"/>
      <c r="M35" s="42" t="n"/>
      <c r="N35" s="42" t="n"/>
    </row>
    <row r="36">
      <c r="A36" s="42" t="n"/>
      <c r="B36" s="42" t="n"/>
      <c r="C36" s="42" t="n"/>
      <c r="D36" s="42" t="n"/>
      <c r="E36" s="42" t="n"/>
      <c r="F36" s="42" t="n"/>
      <c r="G36" s="42" t="n"/>
      <c r="H36" s="42" t="n"/>
      <c r="I36" s="42" t="n"/>
      <c r="J36" s="42" t="n"/>
      <c r="K36" s="42" t="n"/>
      <c r="L36" s="42" t="n"/>
      <c r="M36" s="42" t="n"/>
      <c r="N36" s="42" t="n"/>
    </row>
    <row r="37">
      <c r="A37" s="42" t="n"/>
      <c r="B37" s="42" t="n"/>
      <c r="C37" s="42" t="n"/>
      <c r="D37" s="42" t="n"/>
      <c r="E37" s="42" t="n"/>
      <c r="F37" s="42" t="n"/>
      <c r="G37" s="42" t="n"/>
      <c r="H37" s="42" t="n"/>
      <c r="I37" s="42" t="n"/>
      <c r="J37" s="42" t="n"/>
      <c r="K37" s="42" t="n"/>
      <c r="L37" s="42" t="n"/>
      <c r="M37" s="42" t="n"/>
      <c r="N37" s="42" t="n"/>
    </row>
    <row r="38">
      <c r="A38" s="42" t="n"/>
      <c r="B38" s="42" t="n"/>
      <c r="C38" s="42" t="n"/>
      <c r="D38" s="42" t="n"/>
      <c r="E38" s="42" t="n"/>
      <c r="F38" s="42" t="n"/>
      <c r="G38" s="42" t="n"/>
      <c r="H38" s="42" t="n"/>
      <c r="I38" s="42" t="n"/>
      <c r="J38" s="42" t="n"/>
      <c r="K38" s="42" t="n"/>
      <c r="L38" s="42" t="n"/>
      <c r="M38" s="42" t="n"/>
      <c r="N38" s="42" t="n"/>
    </row>
    <row r="39">
      <c r="A39" s="42" t="n"/>
      <c r="B39" s="42" t="n"/>
      <c r="C39" s="42" t="n"/>
      <c r="D39" s="42" t="n"/>
      <c r="E39" s="42" t="n"/>
      <c r="F39" s="42" t="n"/>
      <c r="G39" s="42" t="n"/>
      <c r="H39" s="42" t="n"/>
      <c r="I39" s="42" t="n"/>
      <c r="J39" s="42" t="n"/>
      <c r="K39" s="42" t="n"/>
      <c r="L39" s="42" t="n"/>
      <c r="M39" s="42" t="n"/>
      <c r="N39" s="42" t="n"/>
    </row>
    <row r="40">
      <c r="A40" s="42" t="n"/>
      <c r="B40" s="42" t="n"/>
      <c r="C40" s="42" t="n"/>
      <c r="D40" s="42" t="n"/>
      <c r="E40" s="42" t="n"/>
      <c r="F40" s="42" t="n"/>
      <c r="G40" s="42" t="n"/>
      <c r="H40" s="42" t="n"/>
      <c r="I40" s="42" t="n"/>
      <c r="J40" s="42" t="n"/>
      <c r="K40" s="42" t="n"/>
      <c r="L40" s="42" t="n"/>
      <c r="M40" s="42" t="n"/>
      <c r="N40" s="42" t="n"/>
    </row>
    <row r="41">
      <c r="A41" s="42" t="n"/>
      <c r="B41" s="42" t="n"/>
      <c r="C41" s="42" t="n"/>
      <c r="D41" s="42" t="n"/>
      <c r="E41" s="42" t="n"/>
      <c r="F41" s="42" t="n"/>
      <c r="G41" s="42" t="n"/>
      <c r="H41" s="42" t="n"/>
      <c r="I41" s="42" t="n"/>
      <c r="J41" s="42" t="n"/>
      <c r="K41" s="42" t="n"/>
      <c r="L41" s="42" t="n"/>
      <c r="M41" s="42" t="n"/>
      <c r="N41" s="42" t="n"/>
    </row>
    <row r="42">
      <c r="A42" s="42" t="n"/>
      <c r="B42" s="42" t="n"/>
      <c r="C42" s="42" t="n"/>
      <c r="D42" s="42" t="n"/>
      <c r="E42" s="42" t="n"/>
      <c r="F42" s="42" t="n"/>
      <c r="G42" s="42" t="n"/>
      <c r="H42" s="42" t="n"/>
      <c r="I42" s="42" t="n"/>
      <c r="J42" s="42" t="n"/>
      <c r="K42" s="42" t="n"/>
      <c r="L42" s="42" t="n"/>
      <c r="M42" s="42" t="n"/>
      <c r="N42" s="42" t="n"/>
    </row>
    <row r="43">
      <c r="A43" s="42" t="n"/>
      <c r="B43" s="42" t="n"/>
      <c r="C43" s="42" t="n"/>
      <c r="D43" s="42" t="n"/>
      <c r="E43" s="42" t="n"/>
      <c r="F43" s="42" t="n"/>
      <c r="G43" s="42" t="n"/>
      <c r="H43" s="42" t="n"/>
      <c r="I43" s="42" t="n"/>
      <c r="J43" s="42" t="n"/>
      <c r="K43" s="42" t="n"/>
      <c r="L43" s="42" t="n"/>
      <c r="M43" s="42" t="n"/>
      <c r="N43" s="42" t="n"/>
    </row>
  </sheetData>
  <autoFilter ref="A2:N43"/>
  <mergeCells count="1">
    <mergeCell ref="A1:N1"/>
  </mergeCells>
  <conditionalFormatting sqref="H3:H43">
    <cfRule type="expression" priority="1" dxfId="1">
      <formula>H3="High"</formula>
    </cfRule>
    <cfRule type="expression" priority="2" dxfId="2">
      <formula>H3="Medium"</formula>
    </cfRule>
    <cfRule type="expression" priority="3" dxfId="3">
      <formula>H3="Low"</formula>
    </cfRule>
  </conditionalFormatting>
  <conditionalFormatting sqref="L3:L43">
    <cfRule type="expression" priority="4" dxfId="4">
      <formula>L3="Closed"</formula>
    </cfRule>
    <cfRule type="expression" priority="5" dxfId="8">
      <formula>L3="Accepted"</formula>
    </cfRule>
    <cfRule type="expression" priority="6" dxfId="9">
      <formula>L3="In progress"</formula>
    </cfRule>
  </conditionalFormatting>
  <dataValidations count="4">
    <dataValidation sqref="B3:B43" showDropDown="0" showInputMessage="0" showErrorMessage="0" allowBlank="1" errorTitle="Gap register" error="Pick a value from the list" type="list">
      <formula1>=Lists!$I$2:$I$6</formula1>
    </dataValidation>
    <dataValidation sqref="D3:D43" showDropDown="0" showInputMessage="0" showErrorMessage="0" allowBlank="1" errorTitle="Gap register" error="Pick a value from the list" type="list">
      <formula1>=Lists!$D$2:$D$9</formula1>
    </dataValidation>
    <dataValidation sqref="H3:H43" showDropDown="0" showInputMessage="0" showErrorMessage="0" allowBlank="1" errorTitle="Gap register" error="Pick a value from the list" type="list">
      <formula1>=Lists!$K$2:$K$4</formula1>
    </dataValidation>
    <dataValidation sqref="L3:L43" showDropDown="0" showInputMessage="0" showErrorMessage="0" allowBlank="1" errorTitle="Gap register" error="Pick a value from the list" type="list">
      <formula1>=Lists!$J$2:$J$5</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0" customWidth="1" min="2" max="2"/>
  </cols>
  <sheetData>
    <row r="1">
      <c r="A1" s="17" t="inlineStr">
        <is>
          <t>Severity</t>
        </is>
      </c>
      <c r="B1" s="43" t="n"/>
    </row>
    <row r="2">
      <c r="A2" s="44" t="inlineStr">
        <is>
          <t>Critical</t>
        </is>
      </c>
      <c r="B2" s="3" t="inlineStr">
        <is>
          <t>Reaches Tier 0 (domain or tenant control), or leaves a leaver or an admin with no second factor. Fix or formally accept within the current sprint.</t>
        </is>
      </c>
    </row>
    <row r="3">
      <c r="A3" s="44" t="inlineStr">
        <is>
          <t>High</t>
        </is>
      </c>
      <c r="B3" s="3" t="inlineStr">
        <is>
          <t>Privileged access held outside the intended model, or a gap that affects many accounts. Plan in the next sprint.</t>
        </is>
      </c>
    </row>
    <row r="4">
      <c r="A4" s="44" t="inlineStr">
        <is>
          <t>Medium</t>
        </is>
      </c>
      <c r="B4" s="3" t="inlineStr">
        <is>
          <t>Hygiene gap with limited reach, or one that another control partly covers. Schedule in the remediation backlog.</t>
        </is>
      </c>
    </row>
    <row r="5">
      <c r="A5" s="44" t="inlineStr">
        <is>
          <t>Low</t>
        </is>
      </c>
      <c r="B5" s="3" t="inlineStr">
        <is>
          <t>Housekeeping: naming, ownership records, clean-up of unused objects. Batch with routine work.</t>
        </is>
      </c>
    </row>
    <row r="6">
      <c r="A6" s="17" t="inlineStr">
        <is>
          <t>Zero Trust maturity (CISA ZTMM v2.0)</t>
        </is>
      </c>
      <c r="B6" s="43" t="n"/>
    </row>
    <row r="7">
      <c r="A7" s="44" t="inlineStr">
        <is>
          <t>Traditional</t>
        </is>
      </c>
      <c r="B7" s="3" t="inlineStr">
        <is>
          <t>Manual, static configuration; siloed enforcement; limited visibility.</t>
        </is>
      </c>
    </row>
    <row r="8">
      <c r="A8" s="44" t="inlineStr">
        <is>
          <t>Initial</t>
        </is>
      </c>
      <c r="B8" s="3" t="inlineStr">
        <is>
          <t>Starting automation of attribute assignment and response; some cross-pillar integration.</t>
        </is>
      </c>
    </row>
    <row r="9">
      <c r="A9" s="44" t="inlineStr">
        <is>
          <t>Advanced</t>
        </is>
      </c>
      <c r="B9" s="3" t="inlineStr">
        <is>
          <t>Automated controls and centralized visibility across pillars; policies based on cross-pillar inputs.</t>
        </is>
      </c>
    </row>
    <row r="10">
      <c r="A10" s="44" t="inlineStr">
        <is>
          <t>Optimal</t>
        </is>
      </c>
      <c r="B10" s="3" t="inlineStr">
        <is>
          <t>Fully automated, just-in-time lifecycles and dynamic policies with continuous monitoring.</t>
        </is>
      </c>
    </row>
    <row r="11">
      <c r="A11" s="17" t="inlineStr">
        <is>
          <t>Zero Trust principles</t>
        </is>
      </c>
      <c r="B11" s="43" t="n"/>
    </row>
    <row r="12">
      <c r="A12" s="44" t="inlineStr">
        <is>
          <t>Verify explicitly</t>
        </is>
      </c>
      <c r="B12" s="3" t="inlineStr">
        <is>
          <t>Authenticate and authorize on every request using all available signals.</t>
        </is>
      </c>
    </row>
    <row r="13">
      <c r="A13" s="44" t="inlineStr">
        <is>
          <t>Use least privilege</t>
        </is>
      </c>
      <c r="B13" s="3" t="inlineStr">
        <is>
          <t>Just-in-time and just-enough access; risk-based adaptive policies.</t>
        </is>
      </c>
    </row>
    <row r="14">
      <c r="A14" s="44" t="inlineStr">
        <is>
          <t>Assume breach</t>
        </is>
      </c>
      <c r="B14" s="3" t="inlineStr">
        <is>
          <t>Minimize blast radius, segment access, verify end to end, monitor.</t>
        </is>
      </c>
    </row>
    <row r="15">
      <c r="A15" s="17" t="inlineStr">
        <is>
          <t>Client decision</t>
        </is>
      </c>
      <c r="B15" s="43" t="n"/>
    </row>
    <row r="16">
      <c r="A16" s="44" t="inlineStr">
        <is>
          <t>Accept and remediate</t>
        </is>
      </c>
      <c r="B16" s="3" t="inlineStr">
        <is>
          <t>The client accepts the finding and the proposed solution; it goes to the remediation backlog.</t>
        </is>
      </c>
    </row>
    <row r="17">
      <c r="A17" s="44" t="inlineStr">
        <is>
          <t>Accept risk</t>
        </is>
      </c>
      <c r="B17" s="3" t="inlineStr">
        <is>
          <t>The client accepts the residual risk without remediation; recorded in the exception register with owner, compensating control and expiry.</t>
        </is>
      </c>
    </row>
    <row r="18">
      <c r="A18" s="44" t="inlineStr">
        <is>
          <t>Defer</t>
        </is>
      </c>
      <c r="B18" s="3" t="inlineStr">
        <is>
          <t>Valid finding, not addressed in this phase; recorded in the status register with owner, risk, disposition, follow-on and target date. Never represented as implemented.</t>
        </is>
      </c>
    </row>
    <row r="19">
      <c r="A19" s="44" t="inlineStr">
        <is>
          <t>Reject</t>
        </is>
      </c>
      <c r="B19" s="3" t="inlineStr">
        <is>
          <t>The client does not accept the finding; the rationale is recorded.</t>
        </is>
      </c>
    </row>
    <row r="20">
      <c r="A20" s="17" t="inlineStr">
        <is>
          <t>Gap type</t>
        </is>
      </c>
      <c r="B20" s="43" t="n"/>
    </row>
    <row r="21">
      <c r="A21" s="44" t="inlineStr">
        <is>
          <t>Control</t>
        </is>
      </c>
      <c r="B21" s="3" t="inlineStr">
        <is>
          <t>The environment falls short of the target; groups the findings that show it.</t>
        </is>
      </c>
    </row>
    <row r="22">
      <c r="A22" s="44" t="inlineStr">
        <is>
          <t>Capability</t>
        </is>
      </c>
      <c r="B22" s="3" t="inlineStr">
        <is>
          <t>A process, tool or function that does not exist or is not used (for example no access review process, licensed feature unused).</t>
        </is>
      </c>
    </row>
    <row r="23">
      <c r="A23" s="44" t="inlineStr">
        <is>
          <t>Evidence</t>
        </is>
      </c>
      <c r="B23" s="3" t="inlineStr">
        <is>
          <t>Not assessed yet because access, an export or an input is missing. Never read as a clean result.</t>
        </is>
      </c>
    </row>
    <row r="24">
      <c r="A24" s="44" t="inlineStr">
        <is>
          <t>Coverage</t>
        </is>
      </c>
      <c r="B24" s="3" t="inlineStr">
        <is>
          <t>Asked for by the scope but not measured by any script; needs another source.</t>
        </is>
      </c>
    </row>
    <row r="25">
      <c r="A25" s="44" t="inlineStr">
        <is>
          <t>Decision</t>
        </is>
      </c>
      <c r="B25" s="3" t="inlineStr">
        <is>
          <t>Work is waiting on a decision (platform direction, ownership, scope).</t>
        </is>
      </c>
    </row>
    <row r="26">
      <c r="A26" s="44" t="inlineStr">
        <is>
          <t>Source</t>
        </is>
      </c>
      <c r="B26" s="3" t="inlineStr">
        <is>
          <t>Severity scale: engagement register instructions. Maturity levels and pillars: CISA Zero Trust Maturity Model v2.0 (April 2023), https://www.cisa.gov/zero-trust-maturity-model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4" t="inlineStr">
        <is>
          <t>Severity</t>
        </is>
      </c>
      <c r="B1" s="4" t="inlineStr">
        <is>
          <t>Effort</t>
        </is>
      </c>
      <c r="C1" s="4" t="inlineStr">
        <is>
          <t>Gate</t>
        </is>
      </c>
      <c r="D1" s="4" t="inlineStr">
        <is>
          <t>Pillar</t>
        </is>
      </c>
      <c r="E1" s="4" t="inlineStr">
        <is>
          <t>Principle</t>
        </is>
      </c>
      <c r="F1" s="4" t="inlineStr">
        <is>
          <t>Maturity</t>
        </is>
      </c>
      <c r="G1" s="4" t="inlineStr">
        <is>
          <t>Alignment</t>
        </is>
      </c>
      <c r="H1" s="4" t="inlineStr">
        <is>
          <t>Decision</t>
        </is>
      </c>
      <c r="I1" s="4" t="inlineStr">
        <is>
          <t>GapType</t>
        </is>
      </c>
      <c r="J1" s="4" t="inlineStr">
        <is>
          <t>GapStatus</t>
        </is>
      </c>
      <c r="K1" s="4" t="inlineStr">
        <is>
          <t>Priority</t>
        </is>
      </c>
    </row>
    <row r="2">
      <c r="A2" s="45" t="inlineStr">
        <is>
          <t>Critical</t>
        </is>
      </c>
      <c r="B2" s="45" t="inlineStr">
        <is>
          <t>S</t>
        </is>
      </c>
      <c r="C2" s="45" t="inlineStr">
        <is>
          <t>G0 Pre-project</t>
        </is>
      </c>
      <c r="D2" s="45" t="inlineStr">
        <is>
          <t>Identity</t>
        </is>
      </c>
      <c r="E2" s="45" t="inlineStr">
        <is>
          <t>Verify explicitly</t>
        </is>
      </c>
      <c r="F2" s="45" t="inlineStr">
        <is>
          <t>Traditional</t>
        </is>
      </c>
      <c r="G2" s="45" t="inlineStr">
        <is>
          <t>Aligned</t>
        </is>
      </c>
      <c r="H2" s="45" t="inlineStr">
        <is>
          <t>Accept and remediate</t>
        </is>
      </c>
      <c r="I2" s="45" t="inlineStr">
        <is>
          <t>Control</t>
        </is>
      </c>
      <c r="J2" s="45" t="inlineStr">
        <is>
          <t>Open</t>
        </is>
      </c>
      <c r="K2" s="45" t="inlineStr">
        <is>
          <t>High</t>
        </is>
      </c>
    </row>
    <row r="3">
      <c r="A3" s="45" t="inlineStr">
        <is>
          <t>High</t>
        </is>
      </c>
      <c r="B3" s="45" t="inlineStr">
        <is>
          <t>M</t>
        </is>
      </c>
      <c r="C3" s="45" t="inlineStr">
        <is>
          <t>G1</t>
        </is>
      </c>
      <c r="D3" s="45" t="inlineStr">
        <is>
          <t>Devices</t>
        </is>
      </c>
      <c r="E3" s="45" t="inlineStr">
        <is>
          <t>Use least privilege</t>
        </is>
      </c>
      <c r="F3" s="45" t="inlineStr">
        <is>
          <t>Initial</t>
        </is>
      </c>
      <c r="G3" s="45" t="inlineStr">
        <is>
          <t>Aligned with changes</t>
        </is>
      </c>
      <c r="H3" s="45" t="inlineStr">
        <is>
          <t>Accept risk</t>
        </is>
      </c>
      <c r="I3" s="45" t="inlineStr">
        <is>
          <t>Capability</t>
        </is>
      </c>
      <c r="J3" s="45" t="inlineStr">
        <is>
          <t>In progress</t>
        </is>
      </c>
      <c r="K3" s="45" t="inlineStr">
        <is>
          <t>Medium</t>
        </is>
      </c>
    </row>
    <row r="4">
      <c r="A4" s="45" t="inlineStr">
        <is>
          <t>Medium</t>
        </is>
      </c>
      <c r="B4" s="45" t="inlineStr">
        <is>
          <t>L</t>
        </is>
      </c>
      <c r="C4" s="45" t="inlineStr">
        <is>
          <t>G2</t>
        </is>
      </c>
      <c r="D4" s="45" t="inlineStr">
        <is>
          <t>Networks</t>
        </is>
      </c>
      <c r="E4" s="45" t="inlineStr">
        <is>
          <t>Assume breach</t>
        </is>
      </c>
      <c r="F4" s="45" t="inlineStr">
        <is>
          <t>Advanced</t>
        </is>
      </c>
      <c r="G4" s="45" t="inlineStr">
        <is>
          <t>Not aligned</t>
        </is>
      </c>
      <c r="H4" s="45" t="inlineStr">
        <is>
          <t>Defer</t>
        </is>
      </c>
      <c r="I4" s="45" t="inlineStr">
        <is>
          <t>Evidence</t>
        </is>
      </c>
      <c r="J4" s="45" t="inlineStr">
        <is>
          <t>Closed</t>
        </is>
      </c>
      <c r="K4" s="45" t="inlineStr">
        <is>
          <t>Low</t>
        </is>
      </c>
    </row>
    <row r="5">
      <c r="A5" s="45" t="inlineStr">
        <is>
          <t>Low</t>
        </is>
      </c>
      <c r="B5" s="45" t="inlineStr">
        <is>
          <t>XL</t>
        </is>
      </c>
      <c r="C5" s="45" t="inlineStr">
        <is>
          <t>G3</t>
        </is>
      </c>
      <c r="D5" s="45" t="inlineStr">
        <is>
          <t>Applications and workloads</t>
        </is>
      </c>
      <c r="F5" s="45" t="inlineStr">
        <is>
          <t>Optimal</t>
        </is>
      </c>
      <c r="H5" s="45" t="inlineStr">
        <is>
          <t>Reject</t>
        </is>
      </c>
      <c r="I5" s="45" t="inlineStr">
        <is>
          <t>Coverage</t>
        </is>
      </c>
      <c r="J5" s="45" t="inlineStr">
        <is>
          <t>Accepted</t>
        </is>
      </c>
    </row>
    <row r="6">
      <c r="C6" s="45" t="inlineStr">
        <is>
          <t>G4</t>
        </is>
      </c>
      <c r="D6" s="45" t="inlineStr">
        <is>
          <t>Data</t>
        </is>
      </c>
      <c r="I6" s="45" t="inlineStr">
        <is>
          <t>Decision</t>
        </is>
      </c>
    </row>
    <row r="7">
      <c r="C7" s="45" t="inlineStr">
        <is>
          <t>G5</t>
        </is>
      </c>
      <c r="D7" s="45" t="inlineStr">
        <is>
          <t>Visibility and analytics</t>
        </is>
      </c>
    </row>
    <row r="8">
      <c r="C8" s="45" t="inlineStr">
        <is>
          <t>Follow-on</t>
        </is>
      </c>
      <c r="D8" s="45" t="inlineStr">
        <is>
          <t>Automation and orchestration</t>
        </is>
      </c>
    </row>
    <row r="9">
      <c r="D9" s="45" t="inlineStr">
        <is>
          <t>Governance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2026-10-29T19:43:41Z</dcterms:created>
  <dcterms:modified xmlns:dcterms="http://purl.org/dc/terms/" xmlns:xsi="http://www.w3.org/2001/XMLSchema-instance" xsi:type="dcterms:W3CDTF">2026-10-29T19:43:41Z</dcterms:modified>
</cp:coreProperties>
</file>